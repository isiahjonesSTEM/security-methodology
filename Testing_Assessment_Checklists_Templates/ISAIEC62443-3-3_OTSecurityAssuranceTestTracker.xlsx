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8e82463ac8fd362/Isiah Jones created material/"/>
    </mc:Choice>
  </mc:AlternateContent>
  <xr:revisionPtr revIDLastSave="58" documentId="11_8827A12F88DBEB302D1ACD7A8908FB2D25A24FED" xr6:coauthVersionLast="47" xr6:coauthVersionMax="47" xr10:uidLastSave="{94023D04-D910-4AD6-BA5C-E05B73B0F646}"/>
  <bookViews>
    <workbookView xWindow="-108" yWindow="-108" windowWidth="23256" windowHeight="12456" tabRatio="941" firstSheet="1" activeTab="1" xr2:uid="{00000000-000D-0000-FFFF-FFFF00000000}"/>
  </bookViews>
  <sheets>
    <sheet name="Instructions" sheetId="1" r:id="rId1"/>
    <sheet name="Requirements Library" sheetId="2" r:id="rId2"/>
    <sheet name="MITRE ATT&amp;CK ICS" sheetId="3" r:id="rId3"/>
    <sheet name="Asset Inventory" sheetId="4" r:id="rId4"/>
    <sheet name="Test Tracker" sheetId="5" r:id="rId5"/>
    <sheet name="CVSS v4.0 Reference" sheetId="6" r:id="rId6"/>
    <sheet name="Risk Matrix" sheetId="7" r:id="rId7"/>
    <sheet name="POA&amp;M Tracker" sheetId="8" r:id="rId8"/>
    <sheet name="Metrics Dashboard" sheetId="9" r:id="rId9"/>
    <sheet name="Report Template" sheetId="10" r:id="rId10"/>
  </sheets>
  <definedNames>
    <definedName name="_xlnm._FilterDatabase" localSheetId="3" hidden="1">'Asset Inventory'!$A$1:$N$28</definedName>
    <definedName name="_xlnm._FilterDatabase" localSheetId="2" hidden="1">'MITRE ATT&amp;CK ICS'!$A$1:$E$85</definedName>
    <definedName name="_xlnm._FilterDatabase" localSheetId="7" hidden="1">'POA&amp;M Tracker'!$A$1:$O$51</definedName>
    <definedName name="_xlnm._FilterDatabase" localSheetId="1" hidden="1">'Requirements Library'!$A$1:$N$102</definedName>
    <definedName name="_xlnm._FilterDatabase" localSheetId="4" hidden="1">'Test Tracker'!$A$1:$AE$101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4" i="9" l="1"/>
  <c r="F43" i="9"/>
  <c r="F42" i="9"/>
  <c r="F41" i="9"/>
  <c r="F40" i="9"/>
  <c r="F39" i="9"/>
  <c r="F38" i="9"/>
  <c r="F37" i="9"/>
  <c r="F36" i="9"/>
  <c r="F35" i="9"/>
  <c r="F34" i="9"/>
  <c r="F33" i="9"/>
  <c r="F32" i="9"/>
  <c r="F28" i="9"/>
  <c r="F27" i="9"/>
  <c r="F26" i="9"/>
  <c r="F25" i="9"/>
  <c r="F24" i="9"/>
  <c r="F23" i="9"/>
  <c r="F22" i="9"/>
  <c r="F21" i="9"/>
  <c r="F20" i="9"/>
  <c r="F19" i="9"/>
  <c r="F18" i="9"/>
  <c r="B18" i="9"/>
  <c r="F17" i="9"/>
  <c r="B17" i="9"/>
  <c r="B16" i="9"/>
  <c r="B15" i="9"/>
  <c r="B14" i="9"/>
  <c r="B13" i="9"/>
  <c r="K12" i="9"/>
  <c r="J12" i="9"/>
  <c r="I12" i="9"/>
  <c r="H12" i="9"/>
  <c r="G12" i="9"/>
  <c r="F12" i="9"/>
  <c r="K11" i="9"/>
  <c r="J11" i="9"/>
  <c r="I11" i="9"/>
  <c r="H11" i="9"/>
  <c r="G11" i="9"/>
  <c r="F11" i="9"/>
  <c r="K10" i="9"/>
  <c r="J10" i="9"/>
  <c r="I10" i="9"/>
  <c r="H10" i="9"/>
  <c r="G10" i="9"/>
  <c r="F10" i="9"/>
  <c r="B10" i="9"/>
  <c r="K9" i="9"/>
  <c r="J9" i="9"/>
  <c r="I9" i="9"/>
  <c r="H9" i="9"/>
  <c r="G9" i="9"/>
  <c r="F9" i="9"/>
  <c r="B9" i="9"/>
  <c r="K8" i="9"/>
  <c r="J8" i="9"/>
  <c r="I8" i="9"/>
  <c r="H8" i="9"/>
  <c r="G8" i="9"/>
  <c r="F8" i="9"/>
  <c r="B8" i="9"/>
  <c r="K7" i="9"/>
  <c r="J7" i="9"/>
  <c r="I7" i="9"/>
  <c r="H7" i="9"/>
  <c r="G7" i="9"/>
  <c r="F7" i="9"/>
  <c r="B7" i="9"/>
  <c r="K6" i="9"/>
  <c r="J6" i="9"/>
  <c r="I6" i="9"/>
  <c r="H6" i="9"/>
  <c r="G6" i="9"/>
  <c r="F6" i="9"/>
  <c r="B6" i="9"/>
  <c r="K5" i="9"/>
  <c r="J5" i="9"/>
  <c r="I5" i="9"/>
  <c r="H5" i="9"/>
  <c r="G5" i="9"/>
  <c r="F5" i="9"/>
  <c r="C5" i="9"/>
  <c r="B5" i="9"/>
  <c r="B4" i="9"/>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L2" i="8"/>
  <c r="B20" i="10" l="1"/>
  <c r="B19" i="10"/>
  <c r="B18" i="10"/>
  <c r="B17" i="10"/>
  <c r="B16" i="10"/>
  <c r="B15" i="10"/>
  <c r="B14" i="10"/>
  <c r="C18" i="9"/>
  <c r="C17" i="9"/>
  <c r="C16" i="9"/>
  <c r="C15" i="9"/>
  <c r="C14" i="9"/>
  <c r="C13" i="9"/>
  <c r="C10" i="9"/>
  <c r="C9" i="9"/>
  <c r="C8" i="9"/>
  <c r="C7" i="9"/>
  <c r="C6" i="9"/>
</calcChain>
</file>

<file path=xl/sharedStrings.xml><?xml version="1.0" encoding="utf-8"?>
<sst xmlns="http://schemas.openxmlformats.org/spreadsheetml/2006/main" count="2299" uniqueCount="1345">
  <si>
    <t>ISA/IEC 62443 OT Cyber-Physical Security Assurance Test Tracker v2.0</t>
  </si>
  <si>
    <t>Copyright (c) 2026 Isiah Jones. All Rights Reserved.</t>
  </si>
  <si>
    <t>Tab Descriptions</t>
  </si>
  <si>
    <t>Requirements Library</t>
  </si>
  <si>
    <t>All ISA/IEC 62443-3-3 SRs, 62443-4-2 EDR/HDR/NDR/SAR component requirements, and PLC Top 20 Secure Coding Practices with full FR names and SL mappings.</t>
  </si>
  <si>
    <t>MITRE ATT&amp;CK ICS</t>
  </si>
  <si>
    <t>Complete ATT&amp;CK for ICS techniques with ID+Name, tactics, descriptions. Feeds dropdown in Test Tracker.</t>
  </si>
  <si>
    <t>Asset Inventory</t>
  </si>
  <si>
    <t>Track all assets under test (systems, components, zones, conduits). Feeds the Asset Under Test dropdown in Test Tracker.</t>
  </si>
  <si>
    <t>Test Tracker</t>
  </si>
  <si>
    <t>Main testing worksheet. All dropdowns pull from reference tabs. Includes ATT&amp;CK Impact, CyberPHA/HAZOP/FMEA consequences, and ATT&amp;CK vulnerability types.</t>
  </si>
  <si>
    <t>CVSS v4.0 Reference</t>
  </si>
  <si>
    <t>Reference for CVSS v4.0 metrics. Use https://www.first.org/cvss/calculator/4.0 for scoring.</t>
  </si>
  <si>
    <t>Risk Matrix</t>
  </si>
  <si>
    <t>5x5 risk matrix and Assurance Decision Framework with CVSS-to-assurance level mapping.</t>
  </si>
  <si>
    <t>POA&amp;M Tracker</t>
  </si>
  <si>
    <t>Plan of Action and Milestones for tracking remediation of findings from testing.</t>
  </si>
  <si>
    <t>Metrics Dashboard</t>
  </si>
  <si>
    <t>Auto-calculated metrics with charts: test status, risk ranking, FR coverage by risk level, ATT&amp;CK Impact distribution, consequence type distribution.</t>
  </si>
  <si>
    <t>Report Template</t>
  </si>
  <si>
    <t>Executive summary template with auto-populated stats and four assurance decision statements.</t>
  </si>
  <si>
    <t>Standards References</t>
  </si>
  <si>
    <t>ISA/IEC 62443-3-3</t>
  </si>
  <si>
    <t>System Security Requirements and Security Levels</t>
  </si>
  <si>
    <t>ISA/IEC 62443-4-2</t>
  </si>
  <si>
    <t>Technical Security Requirements for IACS Components (EDR/HDR/NDR/SAR)</t>
  </si>
  <si>
    <t>PLC Top 20</t>
  </si>
  <si>
    <t>Secure PLC Coding Practices — https://plc-security.com</t>
  </si>
  <si>
    <t>MITRE ATT&amp;CK for ICS</t>
  </si>
  <si>
    <t>https://attack.mitre.org/matrices/ics/</t>
  </si>
  <si>
    <t>CVSS v4.0</t>
  </si>
  <si>
    <t>https://www.first.org/cvss/calculator/4.0</t>
  </si>
  <si>
    <t>Req_ID</t>
  </si>
  <si>
    <t>Standard</t>
  </si>
  <si>
    <t>Section</t>
  </si>
  <si>
    <t>FR/Category</t>
  </si>
  <si>
    <t>Requirement Name</t>
  </si>
  <si>
    <t>Type</t>
  </si>
  <si>
    <t>Base Requirement Description</t>
  </si>
  <si>
    <t>Requirement Enhancement</t>
  </si>
  <si>
    <t>RE Description</t>
  </si>
  <si>
    <t>SL-1</t>
  </si>
  <si>
    <t>SL-2</t>
  </si>
  <si>
    <t>SL-3</t>
  </si>
  <si>
    <t>SL-4</t>
  </si>
  <si>
    <t>Applicable Component Types</t>
  </si>
  <si>
    <t>SR 1.1</t>
  </si>
  <si>
    <t>62443-3-3</t>
  </si>
  <si>
    <t>5.3</t>
  </si>
  <si>
    <t>FR1 - Identification and Authentication Control (IAC)</t>
  </si>
  <si>
    <t>Human User Identification and Authentication</t>
  </si>
  <si>
    <t>System Req (SR)</t>
  </si>
  <si>
    <t>Identify and authenticate all human users on all interfaces.</t>
  </si>
  <si>
    <t>RE1: Unique ID+auth; RE2: MFA untrusted nets; RE3: MFA all nets</t>
  </si>
  <si>
    <t>Y</t>
  </si>
  <si>
    <t>Y+RE1</t>
  </si>
  <si>
    <t>Y+RE1+RE2</t>
  </si>
  <si>
    <t>Y+RE1+RE2+RE3</t>
  </si>
  <si>
    <t>Host, Application, Network</t>
  </si>
  <si>
    <t>SR 1.2</t>
  </si>
  <si>
    <t>5.4</t>
  </si>
  <si>
    <t>Software Process and Device Identification and Authentication</t>
  </si>
  <si>
    <t>Identify and authenticate all software processes and devices.</t>
  </si>
  <si>
    <t>RE1: Unique ID+auth</t>
  </si>
  <si>
    <t>N/S</t>
  </si>
  <si>
    <t>Embedded, Host, Network</t>
  </si>
  <si>
    <t>SR 1.3</t>
  </si>
  <si>
    <t>5.5</t>
  </si>
  <si>
    <t>Account Management</t>
  </si>
  <si>
    <t>Support management of all accounts by authorized users.</t>
  </si>
  <si>
    <t>RE1: Unified account mgmt</t>
  </si>
  <si>
    <t>Host, Application</t>
  </si>
  <si>
    <t>SR 1.4</t>
  </si>
  <si>
    <t>5.6</t>
  </si>
  <si>
    <t>Identifier Management</t>
  </si>
  <si>
    <t>Support management of identifiers by user, group, role or interface.</t>
  </si>
  <si>
    <t>None</t>
  </si>
  <si>
    <t>All</t>
  </si>
  <si>
    <t>SR 1.5</t>
  </si>
  <si>
    <t>5.7</t>
  </si>
  <si>
    <t>Authenticator Management</t>
  </si>
  <si>
    <t>Initialize, change, refresh, and protect all authenticators.</t>
  </si>
  <si>
    <t>RE1: HW security for SW process credentials</t>
  </si>
  <si>
    <t>SR 1.6</t>
  </si>
  <si>
    <t>5.8</t>
  </si>
  <si>
    <t>Wireless Access Management</t>
  </si>
  <si>
    <t>Identify and authenticate all wireless users.</t>
  </si>
  <si>
    <t>RE1: Unique wireless ID+auth</t>
  </si>
  <si>
    <t>Network, Embedded</t>
  </si>
  <si>
    <t>SR 1.7</t>
  </si>
  <si>
    <t>5.9</t>
  </si>
  <si>
    <t>Strength of Password-Based Authentication</t>
  </si>
  <si>
    <t>Enforce configurable password strength.</t>
  </si>
  <si>
    <t>RE1: Password generation/lifetime for humans; RE2: Lifetime for all users</t>
  </si>
  <si>
    <t>SR 1.8</t>
  </si>
  <si>
    <t>5.10</t>
  </si>
  <si>
    <t>Public Key Infrastructure (PKI) Certificates</t>
  </si>
  <si>
    <t>Operate PKI per best practices or obtain certificates from existing PKI.</t>
  </si>
  <si>
    <t>Host, Network</t>
  </si>
  <si>
    <t>SR 1.9</t>
  </si>
  <si>
    <t>5.11</t>
  </si>
  <si>
    <t>Strength of Public Key Authentication</t>
  </si>
  <si>
    <t>Validate certificates, control private keys, map identity to users.</t>
  </si>
  <si>
    <t>RE1: HW security for public key auth</t>
  </si>
  <si>
    <t>SR 1.10</t>
  </si>
  <si>
    <t>5.12</t>
  </si>
  <si>
    <t>Authenticator Feedback</t>
  </si>
  <si>
    <t>Obscure feedback of authentication information.</t>
  </si>
  <si>
    <t>SR 1.11</t>
  </si>
  <si>
    <t>5.13</t>
  </si>
  <si>
    <t>Unsuccessful Login Attempts</t>
  </si>
  <si>
    <t>Enforce limit of consecutive invalid access attempts.</t>
  </si>
  <si>
    <t>SR 1.12</t>
  </si>
  <si>
    <t>5.14</t>
  </si>
  <si>
    <t>System Use Notification</t>
  </si>
  <si>
    <t>Display system use notification before authenticating.</t>
  </si>
  <si>
    <t>SR 1.13</t>
  </si>
  <si>
    <t>5.15</t>
  </si>
  <si>
    <t>Access via Untrusted Networks</t>
  </si>
  <si>
    <t>Monitor and control all access methods via untrusted networks.</t>
  </si>
  <si>
    <t>RE1: Explicit access request approval</t>
  </si>
  <si>
    <t>Network, Host</t>
  </si>
  <si>
    <t>SR 2.1</t>
  </si>
  <si>
    <t>6.3</t>
  </si>
  <si>
    <t>FR2 - Use Control (UC)</t>
  </si>
  <si>
    <t>Authorization Enforcement</t>
  </si>
  <si>
    <t>Enforce authorizations for all human users.</t>
  </si>
  <si>
    <t>RE1: All users; RE2: Permission-to-role mapping; RE3: Supervisor override; RE4: Dual approval</t>
  </si>
  <si>
    <t>Y+RE1+RE2+RE3+RE4</t>
  </si>
  <si>
    <t>SR 2.2</t>
  </si>
  <si>
    <t>6.4</t>
  </si>
  <si>
    <t>Wireless Use Control</t>
  </si>
  <si>
    <t>Authorize, monitor, enforce wireless usage restrictions.</t>
  </si>
  <si>
    <t>RE1: ID/report unauthorized wireless devices</t>
  </si>
  <si>
    <t>Network</t>
  </si>
  <si>
    <t>SR 2.3</t>
  </si>
  <si>
    <t>6.5</t>
  </si>
  <si>
    <t>Use Control for Portable and Mobile Devices</t>
  </si>
  <si>
    <t>Enforce configurable usage restrictions for portable/mobile devices.</t>
  </si>
  <si>
    <t>RE1: Enforce security status of portable/mobile devices</t>
  </si>
  <si>
    <t>SR 2.4</t>
  </si>
  <si>
    <t>6.6</t>
  </si>
  <si>
    <t>Mobile Code</t>
  </si>
  <si>
    <t>Enforce usage restrictions for mobile code technologies.</t>
  </si>
  <si>
    <t>RE1: Mobile code integrity check</t>
  </si>
  <si>
    <t>SR 2.5</t>
  </si>
  <si>
    <t>6.7</t>
  </si>
  <si>
    <t>Session Lock</t>
  </si>
  <si>
    <t>Prevent further access via session lock after configurable inactivity.</t>
  </si>
  <si>
    <t>SR 2.6</t>
  </si>
  <si>
    <t>6.8</t>
  </si>
  <si>
    <t>Remote Session Termination</t>
  </si>
  <si>
    <t>Terminate remote sessions automatically or manually.</t>
  </si>
  <si>
    <t>SR 2.7</t>
  </si>
  <si>
    <t>6.9</t>
  </si>
  <si>
    <t>Concurrent Session Control</t>
  </si>
  <si>
    <t>Limit concurrent sessions per interface.</t>
  </si>
  <si>
    <t>SR 2.8</t>
  </si>
  <si>
    <t>6.10</t>
  </si>
  <si>
    <t>Auditable Events</t>
  </si>
  <si>
    <t>Generate audit records for security-relevant events.</t>
  </si>
  <si>
    <t>RE1: Centrally managed system-wide audit trail with SIEM export</t>
  </si>
  <si>
    <t>SR 2.9</t>
  </si>
  <si>
    <t>6.11</t>
  </si>
  <si>
    <t>Audit Storage Capacity</t>
  </si>
  <si>
    <t>Allocate sufficient audit record storage capacity.</t>
  </si>
  <si>
    <t>RE1: Warn when storage threshold reached</t>
  </si>
  <si>
    <t>Host</t>
  </si>
  <si>
    <t>SR 2.10</t>
  </si>
  <si>
    <t>6.12</t>
  </si>
  <si>
    <t>Response to Audit Processing Failures</t>
  </si>
  <si>
    <t>Alert personnel and prevent loss of essential services during audit failures.</t>
  </si>
  <si>
    <t>SR 2.11</t>
  </si>
  <si>
    <t>6.13</t>
  </si>
  <si>
    <t>Timestamps</t>
  </si>
  <si>
    <t>Provide timestamps for audit record generation.</t>
  </si>
  <si>
    <t>RE1: Internal time sync; RE2: Protect time source integrity</t>
  </si>
  <si>
    <t>SR 2.12</t>
  </si>
  <si>
    <t>6.14</t>
  </si>
  <si>
    <t>Non-repudiation</t>
  </si>
  <si>
    <t>Determine whether a given human user took a particular action.</t>
  </si>
  <si>
    <t>RE1: Non-repudiation for all users</t>
  </si>
  <si>
    <t>SR 3.1</t>
  </si>
  <si>
    <t>7.3</t>
  </si>
  <si>
    <t>FR3 - System Integrity (SI)</t>
  </si>
  <si>
    <t>Communication Integrity</t>
  </si>
  <si>
    <t>Protect integrity of transmitted information.</t>
  </si>
  <si>
    <t>RE1: Cryptographic integrity protection</t>
  </si>
  <si>
    <t>SR 3.2</t>
  </si>
  <si>
    <t>7.4</t>
  </si>
  <si>
    <t>Malicious Code Protection</t>
  </si>
  <si>
    <t>Prevent, detect, report, mitigate malicious code.</t>
  </si>
  <si>
    <t>RE1: Protection at entry/exit points; RE2: Central mgmt/reporting</t>
  </si>
  <si>
    <t>SR 3.3</t>
  </si>
  <si>
    <t>7.5</t>
  </si>
  <si>
    <t>Security Functionality Verification</t>
  </si>
  <si>
    <t>Support verification of security functions during FAT/SAT/maintenance.</t>
  </si>
  <si>
    <t>RE1: Automated verification; RE2: Verification during normal ops</t>
  </si>
  <si>
    <t>SR 3.4</t>
  </si>
  <si>
    <t>7.6</t>
  </si>
  <si>
    <t>Software and Information Integrity</t>
  </si>
  <si>
    <t>Detect, record, report, protect against unauthorized changes at rest.</t>
  </si>
  <si>
    <t>RE1: Automated integrity violation notification</t>
  </si>
  <si>
    <t>SR 3.5</t>
  </si>
  <si>
    <t>7.7</t>
  </si>
  <si>
    <t>Input Validation</t>
  </si>
  <si>
    <t>Validate syntax and content of any process control input.</t>
  </si>
  <si>
    <t>SR 3.6</t>
  </si>
  <si>
    <t>7.8</t>
  </si>
  <si>
    <t>Deterministic Output</t>
  </si>
  <si>
    <t>Set outputs to predetermined state if normal operation cannot be maintained.</t>
  </si>
  <si>
    <t>Embedded</t>
  </si>
  <si>
    <t>SR 3.7</t>
  </si>
  <si>
    <t>7.9</t>
  </si>
  <si>
    <t>Error Handling</t>
  </si>
  <si>
    <t>Handle error conditions without providing exploitable information.</t>
  </si>
  <si>
    <t>SR 3.8</t>
  </si>
  <si>
    <t>7.10</t>
  </si>
  <si>
    <t>Session Integrity</t>
  </si>
  <si>
    <t>Protect session integrity, reject invalid session IDs.</t>
  </si>
  <si>
    <t>RE1: Invalidate after termination; RE2: Unique IDs; RE3: Random IDs</t>
  </si>
  <si>
    <t>SR 3.9</t>
  </si>
  <si>
    <t>7.11</t>
  </si>
  <si>
    <t>Protection of Audit Information</t>
  </si>
  <si>
    <t>Protect audit info from unauthorized access, modification, deletion.</t>
  </si>
  <si>
    <t>RE1: Write-once media</t>
  </si>
  <si>
    <t>SR 4.1</t>
  </si>
  <si>
    <t>8.3</t>
  </si>
  <si>
    <t>FR4 - Data Confidentiality (DC)</t>
  </si>
  <si>
    <t>Information Confidentiality</t>
  </si>
  <si>
    <t>Protect confidentiality of information at rest or in transit.</t>
  </si>
  <si>
    <t>RE1: Protect via untrusted nets; RE2: Protect across zone boundaries</t>
  </si>
  <si>
    <t>SR 4.2</t>
  </si>
  <si>
    <t>8.4</t>
  </si>
  <si>
    <t>Information Persistence</t>
  </si>
  <si>
    <t>Purge protected information from decommissioned components.</t>
  </si>
  <si>
    <t>RE1: Purge shared memory resources</t>
  </si>
  <si>
    <t>SR 4.3</t>
  </si>
  <si>
    <t>8.5</t>
  </si>
  <si>
    <t>Use of Cryptography</t>
  </si>
  <si>
    <t>Use cryptographic algorithms and key management per accepted practices.</t>
  </si>
  <si>
    <t>SR 5.1</t>
  </si>
  <si>
    <t>9.3</t>
  </si>
  <si>
    <t>FR5 - Restricted Data Flow (RDF)</t>
  </si>
  <si>
    <t>Network Segmentation</t>
  </si>
  <si>
    <t>Logically segment control system networks from non-CS networks.</t>
  </si>
  <si>
    <t>RE1: Physical segmentation; RE2: Independence; RE3: Logical+physical isolation</t>
  </si>
  <si>
    <t>SR 5.2</t>
  </si>
  <si>
    <t>9.4</t>
  </si>
  <si>
    <t>Zone Boundary Protection</t>
  </si>
  <si>
    <t>Monitor and control communications at zone boundaries.</t>
  </si>
  <si>
    <t>RE1: Deny by default; RE2: Island mode; RE3: Fail close</t>
  </si>
  <si>
    <t>SR 5.3</t>
  </si>
  <si>
    <t>9.5</t>
  </si>
  <si>
    <t>General Purpose Person-to-Person Communication Restrictions</t>
  </si>
  <si>
    <t>Prevent general purpose messages from external users/systems.</t>
  </si>
  <si>
    <t>RE1: Prohibit all general purpose P2P comms</t>
  </si>
  <si>
    <t>SR 5.4</t>
  </si>
  <si>
    <t>9.6</t>
  </si>
  <si>
    <t>Application Partitioning</t>
  </si>
  <si>
    <t>Support partitioning of data, applications, services by criticality.</t>
  </si>
  <si>
    <t>SR 6.1</t>
  </si>
  <si>
    <t>10.3</t>
  </si>
  <si>
    <t>FR6 - Timely Response to Events (TRE)</t>
  </si>
  <si>
    <t>Audit Log Accessibility</t>
  </si>
  <si>
    <t>Provide read-only audit log access for authorized humans/tools.</t>
  </si>
  <si>
    <t>RE1: Programmatic access via API</t>
  </si>
  <si>
    <t>SR 6.2</t>
  </si>
  <si>
    <t>10.4</t>
  </si>
  <si>
    <t>Continuous Monitoring</t>
  </si>
  <si>
    <t>Continuously monitor all security mechanism performance.</t>
  </si>
  <si>
    <t>SR 7.1</t>
  </si>
  <si>
    <t>11.3</t>
  </si>
  <si>
    <t>FR7 - Resource Availability (RA)</t>
  </si>
  <si>
    <t>Denial of Service Protection</t>
  </si>
  <si>
    <t>Operate in degraded mode during DoS events.</t>
  </si>
  <si>
    <t>RE1: Manage communication loads; RE2: Limit DoS to other systems</t>
  </si>
  <si>
    <t>SR 7.2</t>
  </si>
  <si>
    <t>11.4</t>
  </si>
  <si>
    <t>Resource Management</t>
  </si>
  <si>
    <t>Limit resource use by security functions to prevent exhaustion.</t>
  </si>
  <si>
    <t>SR 7.3</t>
  </si>
  <si>
    <t>11.5</t>
  </si>
  <si>
    <t>Control System Backup</t>
  </si>
  <si>
    <t>Support backup without affecting normal operations.</t>
  </si>
  <si>
    <t>RE1: Backup verification; RE2: Backup automation</t>
  </si>
  <si>
    <t>SR 7.4</t>
  </si>
  <si>
    <t>11.6</t>
  </si>
  <si>
    <t>Control System Recovery and Reconstitution</t>
  </si>
  <si>
    <t>Recover to known secure state after disruption.</t>
  </si>
  <si>
    <t>SR 7.5</t>
  </si>
  <si>
    <t>11.7</t>
  </si>
  <si>
    <t>Emergency Power</t>
  </si>
  <si>
    <t>Switch to/from emergency power without affecting security state.</t>
  </si>
  <si>
    <t>SR 7.6</t>
  </si>
  <si>
    <t>11.8</t>
  </si>
  <si>
    <t>Network and Security Configuration Settings</t>
  </si>
  <si>
    <t>Configure per recommended settings; provide interface to current settings.</t>
  </si>
  <si>
    <t>RE1: Machine-readable reporting</t>
  </si>
  <si>
    <t>SR 7.7</t>
  </si>
  <si>
    <t>11.9</t>
  </si>
  <si>
    <t>Least Functionality</t>
  </si>
  <si>
    <t>Prohibit/restrict unnecessary functions, ports, protocols, services.</t>
  </si>
  <si>
    <t>SR 7.8</t>
  </si>
  <si>
    <t>11.10</t>
  </si>
  <si>
    <t>Control System Component Inventory</t>
  </si>
  <si>
    <t>Report current installed components and their properties.</t>
  </si>
  <si>
    <t>EDR 1.1</t>
  </si>
  <si>
    <t>62443-4-2</t>
  </si>
  <si>
    <t>Human User ID and Auth (Embedded Device)</t>
  </si>
  <si>
    <t>Embedded Device Req (EDR)</t>
  </si>
  <si>
    <t>Embedded device shall identify and authenticate all human users on all interfaces.</t>
  </si>
  <si>
    <t>Maps to SR 1.1</t>
  </si>
  <si>
    <t>Embedded Devices (PLC, RTU, IED)</t>
  </si>
  <si>
    <t>EDR 1.2</t>
  </si>
  <si>
    <t>SW Process and Device ID and Auth (Embedded)</t>
  </si>
  <si>
    <t>Embedded device shall identify and authenticate all software processes and devices.</t>
  </si>
  <si>
    <t>Maps to SR 1.2</t>
  </si>
  <si>
    <t>Embedded Devices</t>
  </si>
  <si>
    <t>EDR 2.1</t>
  </si>
  <si>
    <t>Authorization Enforcement (Embedded)</t>
  </si>
  <si>
    <t>Embedded device shall enforce authorizations assigned to users.</t>
  </si>
  <si>
    <t>Maps to SR 2.1</t>
  </si>
  <si>
    <t>EDR 2.8</t>
  </si>
  <si>
    <t>Auditable Events (Embedded)</t>
  </si>
  <si>
    <t>Embedded device shall generate security audit records.</t>
  </si>
  <si>
    <t>Maps to SR 2.8</t>
  </si>
  <si>
    <t>EDR 3.2</t>
  </si>
  <si>
    <t>Malicious Code Protection (Embedded)</t>
  </si>
  <si>
    <t>Embedded device shall employ malicious code protection (whitelisting, firmware validation).</t>
  </si>
  <si>
    <t>Maps to SR 3.2</t>
  </si>
  <si>
    <t>EDR 3.5</t>
  </si>
  <si>
    <t>Input Validation (Embedded)</t>
  </si>
  <si>
    <t>Embedded device shall validate syntax/content of process control inputs.</t>
  </si>
  <si>
    <t>Maps to SR 3.5</t>
  </si>
  <si>
    <t>EDR 3.6</t>
  </si>
  <si>
    <t>Deterministic Output (Embedded)</t>
  </si>
  <si>
    <t>Embedded device shall set outputs to predetermined safe state on attack.</t>
  </si>
  <si>
    <t>Maps to SR 3.6</t>
  </si>
  <si>
    <t>EDR 3.14</t>
  </si>
  <si>
    <t>Integrity of the Boot Process (Embedded)</t>
  </si>
  <si>
    <t>Embedded device shall provide secure boot capability to validate firmware/software integrity at startup.</t>
  </si>
  <si>
    <t>62443-4-2 specific EDR</t>
  </si>
  <si>
    <t>EDR 7.1</t>
  </si>
  <si>
    <t>11.11</t>
  </si>
  <si>
    <t>DoS Protection (Embedded)</t>
  </si>
  <si>
    <t>Embedded device shall operate in degraded mode during DoS.</t>
  </si>
  <si>
    <t>Maps to SR 7.1</t>
  </si>
  <si>
    <t>HDR 1.1</t>
  </si>
  <si>
    <t>12.5</t>
  </si>
  <si>
    <t>Human User ID and Auth (Host Device)</t>
  </si>
  <si>
    <t>Host Device Req (HDR)</t>
  </si>
  <si>
    <t>Host device shall identify and authenticate all human users.</t>
  </si>
  <si>
    <t>Host Devices (EWS, OWS, Server, Historian)</t>
  </si>
  <si>
    <t>HDR 1.7</t>
  </si>
  <si>
    <t>Strength of Password-Based Auth (Host)</t>
  </si>
  <si>
    <t>Host device shall enforce configurable password strength.</t>
  </si>
  <si>
    <t>Maps to SR 1.7</t>
  </si>
  <si>
    <t>Host Devices</t>
  </si>
  <si>
    <t>HDR 2.1</t>
  </si>
  <si>
    <t>12.6</t>
  </si>
  <si>
    <t>Authorization Enforcement (Host)</t>
  </si>
  <si>
    <t>Host device shall enforce authorizations for all users.</t>
  </si>
  <si>
    <t>HDR 2.8</t>
  </si>
  <si>
    <t>Auditable Events (Host)</t>
  </si>
  <si>
    <t>Host device shall generate security audit records.</t>
  </si>
  <si>
    <t>HDR 3.2</t>
  </si>
  <si>
    <t>12.7</t>
  </si>
  <si>
    <t>Malicious Code Protection (Host)</t>
  </si>
  <si>
    <t>Host device shall employ malicious code protection mechanisms.</t>
  </si>
  <si>
    <t>HDR 3.13</t>
  </si>
  <si>
    <t>Secure Boot (Host)</t>
  </si>
  <si>
    <t>Host device shall validate integrity of boot process.</t>
  </si>
  <si>
    <t>62443-4-2 specific HDR</t>
  </si>
  <si>
    <t>HDR 4.1</t>
  </si>
  <si>
    <t>12.8</t>
  </si>
  <si>
    <t>Information Confidentiality (Host)</t>
  </si>
  <si>
    <t>Host device shall protect confidentiality of information at rest/in transit.</t>
  </si>
  <si>
    <t>Maps to SR 4.1</t>
  </si>
  <si>
    <t>HDR 7.1</t>
  </si>
  <si>
    <t>12.11</t>
  </si>
  <si>
    <t>DoS Protection (Host)</t>
  </si>
  <si>
    <t>Host device shall operate in degraded mode during DoS.</t>
  </si>
  <si>
    <t>NDR 1.6</t>
  </si>
  <si>
    <t>13.5</t>
  </si>
  <si>
    <t>Wireless Access Management (Network)</t>
  </si>
  <si>
    <t>Network Device Req (NDR)</t>
  </si>
  <si>
    <t>Network device shall identify/authenticate all wireless users.</t>
  </si>
  <si>
    <t>Maps to SR 1.6</t>
  </si>
  <si>
    <t>Network Devices (FW, Switch, Router)</t>
  </si>
  <si>
    <t>NDR 1.13</t>
  </si>
  <si>
    <t>Access via Untrusted Networks (Network)</t>
  </si>
  <si>
    <t>Network device shall monitor/control access via untrusted networks.</t>
  </si>
  <si>
    <t>Maps to SR 1.13</t>
  </si>
  <si>
    <t>Network Devices</t>
  </si>
  <si>
    <t>NDR 2.2</t>
  </si>
  <si>
    <t>13.6</t>
  </si>
  <si>
    <t>Wireless Use Control (Network)</t>
  </si>
  <si>
    <t>Network device shall enforce wireless usage restrictions.</t>
  </si>
  <si>
    <t>Maps to SR 2.2</t>
  </si>
  <si>
    <t>NDR 3.1</t>
  </si>
  <si>
    <t>13.7</t>
  </si>
  <si>
    <t>Communication Integrity (Network)</t>
  </si>
  <si>
    <t>Network device shall protect integrity of transmitted information.</t>
  </si>
  <si>
    <t>Maps to SR 3.1</t>
  </si>
  <si>
    <t>NDR 5.1</t>
  </si>
  <si>
    <t>13.9</t>
  </si>
  <si>
    <t>Network Segmentation (Network)</t>
  </si>
  <si>
    <t>Network device shall support logical/physical network segmentation.</t>
  </si>
  <si>
    <t>Maps to SR 5.1</t>
  </si>
  <si>
    <t>NDR 5.2</t>
  </si>
  <si>
    <t>Zone Boundary Protection (Network)</t>
  </si>
  <si>
    <t>Network device shall monitor/control communications at zone boundaries.</t>
  </si>
  <si>
    <t>Maps to SR 5.2</t>
  </si>
  <si>
    <t>NDR 5.3</t>
  </si>
  <si>
    <t>General Purpose P2P Comm Restrictions (Network)</t>
  </si>
  <si>
    <t>Network device shall restrict general purpose person-to-person communications.</t>
  </si>
  <si>
    <t>Maps to SR 5.3</t>
  </si>
  <si>
    <t>SAR 1.1</t>
  </si>
  <si>
    <t>14.5</t>
  </si>
  <si>
    <t>Human User ID and Auth (Application)</t>
  </si>
  <si>
    <t>Software Application Req (SAR)</t>
  </si>
  <si>
    <t>Application shall identify and authenticate all human users.</t>
  </si>
  <si>
    <t>Applications (SCADA, DCS, HMI SW)</t>
  </si>
  <si>
    <t>SAR 2.1</t>
  </si>
  <si>
    <t>14.6</t>
  </si>
  <si>
    <t>Authorization Enforcement (Application)</t>
  </si>
  <si>
    <t>Application shall enforce authorizations.</t>
  </si>
  <si>
    <t>Applications</t>
  </si>
  <si>
    <t>SAR 2.4</t>
  </si>
  <si>
    <t>Mobile Code (Application)</t>
  </si>
  <si>
    <t>Application shall enforce mobile code restrictions.</t>
  </si>
  <si>
    <t>Maps to SR 2.4</t>
  </si>
  <si>
    <t>SAR 3.5</t>
  </si>
  <si>
    <t>14.7</t>
  </si>
  <si>
    <t>Input Validation (Application)</t>
  </si>
  <si>
    <t>Application shall validate syntax/content of all inputs.</t>
  </si>
  <si>
    <t>SAR 3.7</t>
  </si>
  <si>
    <t>Error Handling (Application)</t>
  </si>
  <si>
    <t>Application shall handle errors without leaking exploitable info.</t>
  </si>
  <si>
    <t>Maps to SR 3.7</t>
  </si>
  <si>
    <t>SAR 3.8</t>
  </si>
  <si>
    <t>Session Integrity (Application)</t>
  </si>
  <si>
    <t>Application shall protect session integrity.</t>
  </si>
  <si>
    <t>Maps to SR 3.8</t>
  </si>
  <si>
    <t>PLC-01</t>
  </si>
  <si>
    <t>Practice 1</t>
  </si>
  <si>
    <t>PLC Top 20 Secure Coding Practices</t>
  </si>
  <si>
    <t>Modularize PLC Code</t>
  </si>
  <si>
    <t>Secure Coding Practice</t>
  </si>
  <si>
    <t>Split PLC code into modules to limit effect of compromise.</t>
  </si>
  <si>
    <t>PLC/DCS/RTU</t>
  </si>
  <si>
    <t>PLC-02</t>
  </si>
  <si>
    <t>Practice 2</t>
  </si>
  <si>
    <t>Track Operating Modes</t>
  </si>
  <si>
    <t>Track PLC operating mode (Run/Program/Test) and alarm on changes.</t>
  </si>
  <si>
    <t>PLC-03</t>
  </si>
  <si>
    <t>Practice 3</t>
  </si>
  <si>
    <t>Leave Operational Logic in the PLC</t>
  </si>
  <si>
    <t>Avoid placing safety-critical logic in HMI/SCADA; only PLC hosts it.</t>
  </si>
  <si>
    <t>PLC-04</t>
  </si>
  <si>
    <t>Practice 4</t>
  </si>
  <si>
    <t>Use PLC Flags as Integrity Checks</t>
  </si>
  <si>
    <t>Use internal flags and watchdog timers to monitor code execution integrity.</t>
  </si>
  <si>
    <t>PLC-05</t>
  </si>
  <si>
    <t>Practice 5</t>
  </si>
  <si>
    <t>Use Cryptographic/Checksum Integrity Checks</t>
  </si>
  <si>
    <t>Verify PLC program integrity at startup and periodically via hashes/checksums.</t>
  </si>
  <si>
    <t>PLC-06</t>
  </si>
  <si>
    <t>Practice 6</t>
  </si>
  <si>
    <t>Validate Timers and Counters</t>
  </si>
  <si>
    <t>Validate timers/counters in safety-critical functions to detect manipulation.</t>
  </si>
  <si>
    <t>PLC-07</t>
  </si>
  <si>
    <t>Practice 7</t>
  </si>
  <si>
    <t>Validate Paired Inputs/Outputs</t>
  </si>
  <si>
    <t>Cross-check related I/O to detect inconsistencies indicating tampering.</t>
  </si>
  <si>
    <t>PLC-08</t>
  </si>
  <si>
    <t>Practice 8</t>
  </si>
  <si>
    <t>Validate Input/Output Data</t>
  </si>
  <si>
    <t>Validate I/O against expected ranges; alert on out-of-range values.</t>
  </si>
  <si>
    <t>PLC-09</t>
  </si>
  <si>
    <t>Practice 9</t>
  </si>
  <si>
    <t>Validate HMI Input Variables at PLC Level</t>
  </si>
  <si>
    <t>Do not trust setpoint/command values from HMI without PLC-level validation.</t>
  </si>
  <si>
    <t>PLC-10</t>
  </si>
  <si>
    <t>Practice 10</t>
  </si>
  <si>
    <t>Validate Indications by Checking Field Device Responses</t>
  </si>
  <si>
    <t>Validate field device responses match commands sent.</t>
  </si>
  <si>
    <t>PLC-11</t>
  </si>
  <si>
    <t>Practice 11</t>
  </si>
  <si>
    <t>Define a Safe Process State</t>
  </si>
  <si>
    <t>Define/implement safe process state PLC reverts to on anomaly detection.</t>
  </si>
  <si>
    <t>PLC-12</t>
  </si>
  <si>
    <t>Practice 12</t>
  </si>
  <si>
    <t>Monitor PLC Uptime</t>
  </si>
  <si>
    <t>Track and report PLC uptime to detect unexpected restarts.</t>
  </si>
  <si>
    <t>PLC-13</t>
  </si>
  <si>
    <t>Practice 13</t>
  </si>
  <si>
    <t>Log PLC Hard Stops and Restarts</t>
  </si>
  <si>
    <t>Log all PLC hard stops/restarts with timestamps for forensics.</t>
  </si>
  <si>
    <t>PLC-14</t>
  </si>
  <si>
    <t>Practice 14</t>
  </si>
  <si>
    <t>Log PLC Changes</t>
  </si>
  <si>
    <t>Log all PLC program/config/firmware changes with timestamps and user identity.</t>
  </si>
  <si>
    <t>PLC-15</t>
  </si>
  <si>
    <t>Practice 15</t>
  </si>
  <si>
    <t>Summarize PLC Cycle Times and Trend Deviations</t>
  </si>
  <si>
    <t>Track scan cycle times; alert on deviations from normal.</t>
  </si>
  <si>
    <t>PLC-16</t>
  </si>
  <si>
    <t>Practice 16</t>
  </si>
  <si>
    <t>Monitor PLC Memory Usage</t>
  </si>
  <si>
    <t>Monitor PLC memory consumption; alert on unexpected changes.</t>
  </si>
  <si>
    <t>PLC-17</t>
  </si>
  <si>
    <t>Practice 17</t>
  </si>
  <si>
    <t>Trap False Negatives/Positives for Critical Alerts</t>
  </si>
  <si>
    <t>Detect suppressed alarms or false sensor readings.</t>
  </si>
  <si>
    <t>PLC-18</t>
  </si>
  <si>
    <t>Practice 18</t>
  </si>
  <si>
    <t>Restrict Third-Party Data Interfaces</t>
  </si>
  <si>
    <t>Restrict/validate data from third-party interfaces and OPC servers.</t>
  </si>
  <si>
    <t>PLC-19</t>
  </si>
  <si>
    <t>Practice 19</t>
  </si>
  <si>
    <t>Define Safe Process State on PLC Restart</t>
  </si>
  <si>
    <t>Define explicit startup states so PLC begins in known safe state.</t>
  </si>
  <si>
    <t>PLC-20</t>
  </si>
  <si>
    <t>Practice 20</t>
  </si>
  <si>
    <t>Instrument for Forensics</t>
  </si>
  <si>
    <t>Provide sufficient logging/diagnostics in PLC for post-incident forensics.</t>
  </si>
  <si>
    <t>Technique ID</t>
  </si>
  <si>
    <t>Technique Name</t>
  </si>
  <si>
    <t>Tactic</t>
  </si>
  <si>
    <t>Description Summary</t>
  </si>
  <si>
    <t>ID + Name</t>
  </si>
  <si>
    <t>T0800</t>
  </si>
  <si>
    <t>Activate Firmware Update Mode</t>
  </si>
  <si>
    <t>Inhibit Response Function</t>
  </si>
  <si>
    <t>Activate firmware update mode to prevent response functions</t>
  </si>
  <si>
    <t>T0800 Activate Firmware Update Mode</t>
  </si>
  <si>
    <t>T0801</t>
  </si>
  <si>
    <t>Monitor Process State</t>
  </si>
  <si>
    <t>Collection</t>
  </si>
  <si>
    <t>Gather information about physical process state</t>
  </si>
  <si>
    <t>T0801 Monitor Process State</t>
  </si>
  <si>
    <t>T0802</t>
  </si>
  <si>
    <t>Automated Collection</t>
  </si>
  <si>
    <t>Automate collection of ICS environment information</t>
  </si>
  <si>
    <t>T0802 Automated Collection</t>
  </si>
  <si>
    <t>T0803</t>
  </si>
  <si>
    <t>Block Command Message</t>
  </si>
  <si>
    <t>Block command messages from reaching target devices</t>
  </si>
  <si>
    <t>T0803 Block Command Message</t>
  </si>
  <si>
    <t>T0804</t>
  </si>
  <si>
    <t>Block Reporting Message</t>
  </si>
  <si>
    <t>Block reporting messages to hide actions from operator</t>
  </si>
  <si>
    <t>T0804 Block Reporting Message</t>
  </si>
  <si>
    <t>T0805</t>
  </si>
  <si>
    <t>Block Serial COM</t>
  </si>
  <si>
    <t>Block access to serial COM ports</t>
  </si>
  <si>
    <t>T0805 Block Serial COM</t>
  </si>
  <si>
    <t>T0806</t>
  </si>
  <si>
    <t>Brute Force I/O</t>
  </si>
  <si>
    <t>Impair Process Control</t>
  </si>
  <si>
    <t>Repetitively change I/O point values to manipulate process</t>
  </si>
  <si>
    <t>T0806 Brute Force I/O</t>
  </si>
  <si>
    <t>T0807</t>
  </si>
  <si>
    <t>Command-Line Interface</t>
  </si>
  <si>
    <t>Execution</t>
  </si>
  <si>
    <t>Use CLIs to interact with systems and execute commands</t>
  </si>
  <si>
    <t>T0807 Command-Line Interface</t>
  </si>
  <si>
    <t>T0809</t>
  </si>
  <si>
    <t>Data Destruction</t>
  </si>
  <si>
    <t>Destroy data over course of an operation</t>
  </si>
  <si>
    <t>T0809 Data Destruction</t>
  </si>
  <si>
    <t>T0811</t>
  </si>
  <si>
    <t>Data from Information Repositories</t>
  </si>
  <si>
    <t>Collect data from information repositories</t>
  </si>
  <si>
    <t>T0811 Data from Information Repositories</t>
  </si>
  <si>
    <t>T0812</t>
  </si>
  <si>
    <t>Default Credentials</t>
  </si>
  <si>
    <t>Lateral Movement</t>
  </si>
  <si>
    <t>Leverage default credentials on control system devices</t>
  </si>
  <si>
    <t>T0812 Default Credentials</t>
  </si>
  <si>
    <t>T0813</t>
  </si>
  <si>
    <t>Denial of Control</t>
  </si>
  <si>
    <t>Impact</t>
  </si>
  <si>
    <t>Prevent operators from interacting with process controls</t>
  </si>
  <si>
    <t>T0813 Denial of Control</t>
  </si>
  <si>
    <t>T0814</t>
  </si>
  <si>
    <t>Denial of Service</t>
  </si>
  <si>
    <t>Perform DoS attacks to disrupt device functionality</t>
  </si>
  <si>
    <t>T0814 Denial of Service</t>
  </si>
  <si>
    <t>T0815</t>
  </si>
  <si>
    <t>Denial of View</t>
  </si>
  <si>
    <t>Disrupt and prevent operator oversight on ICS status</t>
  </si>
  <si>
    <t>T0815 Denial of View</t>
  </si>
  <si>
    <t>T0816</t>
  </si>
  <si>
    <t>Device Restart/Shutdown</t>
  </si>
  <si>
    <t>Forcibly restart or shutdown a device</t>
  </si>
  <si>
    <t>T0816 Device Restart/Shutdown</t>
  </si>
  <si>
    <t>T0817</t>
  </si>
  <si>
    <t>Drive-by Compromise</t>
  </si>
  <si>
    <t>Initial Access</t>
  </si>
  <si>
    <t>Gain access when user visits compromised website</t>
  </si>
  <si>
    <t>T0817 Drive-by Compromise</t>
  </si>
  <si>
    <t>T0819</t>
  </si>
  <si>
    <t>Exploit Public-Facing Application</t>
  </si>
  <si>
    <t>Exploit internet-facing software for initial access</t>
  </si>
  <si>
    <t>T0819 Exploit Public-Facing Application</t>
  </si>
  <si>
    <t>T0820</t>
  </si>
  <si>
    <t>Exploitation for Evasion</t>
  </si>
  <si>
    <t>Evasion</t>
  </si>
  <si>
    <t>Exploit vulnerability to disable security features</t>
  </si>
  <si>
    <t>T0820 Exploitation for Evasion</t>
  </si>
  <si>
    <t>T0821</t>
  </si>
  <si>
    <t>Modify Controller Tasking</t>
  </si>
  <si>
    <t>Modify controller tasking to execute adversary programs</t>
  </si>
  <si>
    <t>T0821 Modify Controller Tasking</t>
  </si>
  <si>
    <t>T0822</t>
  </si>
  <si>
    <t>External Remote Services</t>
  </si>
  <si>
    <t>Leverage external remote services (VPN, Citrix)</t>
  </si>
  <si>
    <t>T0822 External Remote Services</t>
  </si>
  <si>
    <t>T0823</t>
  </si>
  <si>
    <t>Graphical User Interface</t>
  </si>
  <si>
    <t>Gain access via GUI for enhanced execution</t>
  </si>
  <si>
    <t>T0823 Graphical User Interface</t>
  </si>
  <si>
    <t>T0826</t>
  </si>
  <si>
    <t>Loss of Availability</t>
  </si>
  <si>
    <t>Disrupt essential components to prevent service delivery</t>
  </si>
  <si>
    <t>T0826 Loss of Availability</t>
  </si>
  <si>
    <t>T0827</t>
  </si>
  <si>
    <t>Loss of Control</t>
  </si>
  <si>
    <t>Achieve sustained loss of control or runaway condition</t>
  </si>
  <si>
    <t>T0827 Loss of Control</t>
  </si>
  <si>
    <t>T0828</t>
  </si>
  <si>
    <t>Loss of Productivity and Revenue</t>
  </si>
  <si>
    <t>Cause disruption to operations and availability</t>
  </si>
  <si>
    <t>T0828 Loss of Productivity and Revenue</t>
  </si>
  <si>
    <t>T0829</t>
  </si>
  <si>
    <t>Loss of View</t>
  </si>
  <si>
    <t>Cause sustained/permanent loss of operator view</t>
  </si>
  <si>
    <t>T0829 Loss of View</t>
  </si>
  <si>
    <t>T0830</t>
  </si>
  <si>
    <t>Adversary-in-the-Middle</t>
  </si>
  <si>
    <t>Intercept traffic to/from a device using AiTM</t>
  </si>
  <si>
    <t>T0830 Adversary-in-the-Middle</t>
  </si>
  <si>
    <t>T0831</t>
  </si>
  <si>
    <t>Manipulation of Control</t>
  </si>
  <si>
    <t>Manipulate physical process control including set points</t>
  </si>
  <si>
    <t>T0831 Manipulation of Control</t>
  </si>
  <si>
    <t>T0832</t>
  </si>
  <si>
    <t>Manipulation of View</t>
  </si>
  <si>
    <t>Manipulate information reported to operators</t>
  </si>
  <si>
    <t>T0832 Manipulation of View</t>
  </si>
  <si>
    <t>T0834</t>
  </si>
  <si>
    <t>Native API</t>
  </si>
  <si>
    <t>Interact with native OS API to access system functions</t>
  </si>
  <si>
    <t>T0834 Native API</t>
  </si>
  <si>
    <t>T0835</t>
  </si>
  <si>
    <t>Manipulate I/O Image</t>
  </si>
  <si>
    <t>Inhibit Response Function; Impair Process Control</t>
  </si>
  <si>
    <t>Manipulate PLC I/O image</t>
  </si>
  <si>
    <t>T0835 Manipulate I/O Image</t>
  </si>
  <si>
    <t>T0836</t>
  </si>
  <si>
    <t>Modify Parameter</t>
  </si>
  <si>
    <t>Modify parameters used to instruct ICS devices</t>
  </si>
  <si>
    <t>T0836 Modify Parameter</t>
  </si>
  <si>
    <t>T0837</t>
  </si>
  <si>
    <t>Loss of Protection</t>
  </si>
  <si>
    <t>Compromise protective system functions</t>
  </si>
  <si>
    <t>T0837 Loss of Protection</t>
  </si>
  <si>
    <t>T0838</t>
  </si>
  <si>
    <t>Modify Alarm Settings</t>
  </si>
  <si>
    <t>Modify alarm settings to prevent alerts</t>
  </si>
  <si>
    <t>T0838 Modify Alarm Settings</t>
  </si>
  <si>
    <t>T0839</t>
  </si>
  <si>
    <t>Module Firmware</t>
  </si>
  <si>
    <t>Persistence; Impair Process Control</t>
  </si>
  <si>
    <t>Install malicious firmware on modular hardware</t>
  </si>
  <si>
    <t>T0839 Module Firmware</t>
  </si>
  <si>
    <t>T0840</t>
  </si>
  <si>
    <t>Network Connection Enumeration</t>
  </si>
  <si>
    <t>Discovery</t>
  </si>
  <si>
    <t>Discover device communication patterns</t>
  </si>
  <si>
    <t>T0840 Network Connection Enumeration</t>
  </si>
  <si>
    <t>T0842</t>
  </si>
  <si>
    <t>Network Sniffing</t>
  </si>
  <si>
    <t>Discovery; Collection</t>
  </si>
  <si>
    <t>Monitor or capture network traffic</t>
  </si>
  <si>
    <t>T0842 Network Sniffing</t>
  </si>
  <si>
    <t>T0843</t>
  </si>
  <si>
    <t>Program Download</t>
  </si>
  <si>
    <t>Lateral Movement; Impair Process Control</t>
  </si>
  <si>
    <t>Transfer user program to controller</t>
  </si>
  <si>
    <t>T0843 Program Download</t>
  </si>
  <si>
    <t>T0845</t>
  </si>
  <si>
    <t>Program Upload</t>
  </si>
  <si>
    <t>Upload controller program for analysis</t>
  </si>
  <si>
    <t>T0845 Program Upload</t>
  </si>
  <si>
    <t>T0846</t>
  </si>
  <si>
    <t>Remote System Discovery</t>
  </si>
  <si>
    <t>Obtain listing of systems on network</t>
  </si>
  <si>
    <t>T0846 Remote System Discovery</t>
  </si>
  <si>
    <t>T0847</t>
  </si>
  <si>
    <t>Replication Through Removable Media</t>
  </si>
  <si>
    <t>Initial Access; Lateral Movement</t>
  </si>
  <si>
    <t>Move onto systems via removable media</t>
  </si>
  <si>
    <t>T0847 Replication Through Removable Media</t>
  </si>
  <si>
    <t>T0848</t>
  </si>
  <si>
    <t>Rogue Master</t>
  </si>
  <si>
    <t>Setup unauthorized master to issue commands</t>
  </si>
  <si>
    <t>T0848 Rogue Master</t>
  </si>
  <si>
    <t>T0849</t>
  </si>
  <si>
    <t>Masquerading</t>
  </si>
  <si>
    <t>Disguise malicious application as legitimate file</t>
  </si>
  <si>
    <t>T0849 Masquerading</t>
  </si>
  <si>
    <t>T0851</t>
  </si>
  <si>
    <t>Rootkit</t>
  </si>
  <si>
    <t>Evasion; Inhibit Response Function</t>
  </si>
  <si>
    <t>Deploy rootkit to hide malicious programs</t>
  </si>
  <si>
    <t>T0851 Rootkit</t>
  </si>
  <si>
    <t>T0852</t>
  </si>
  <si>
    <t>Screen Capture</t>
  </si>
  <si>
    <t>Capture screen displays for information collection</t>
  </si>
  <si>
    <t>T0852 Screen Capture</t>
  </si>
  <si>
    <t>T0853</t>
  </si>
  <si>
    <t>Scripting</t>
  </si>
  <si>
    <t>Use scripts to automate operations</t>
  </si>
  <si>
    <t>T0853 Scripting</t>
  </si>
  <si>
    <t>T0855</t>
  </si>
  <si>
    <t>Unauthorized Command Message</t>
  </si>
  <si>
    <t>Send unauthorized commands to instruct assets</t>
  </si>
  <si>
    <t>T0855 Unauthorized Command Message</t>
  </si>
  <si>
    <t>T0856</t>
  </si>
  <si>
    <t>Spoof Reporting Message</t>
  </si>
  <si>
    <t>Evasion; Impair Process Control</t>
  </si>
  <si>
    <t>Spoof reporting messages to hide activity</t>
  </si>
  <si>
    <t>T0856 Spoof Reporting Message</t>
  </si>
  <si>
    <t>T0857</t>
  </si>
  <si>
    <t>System Firmware</t>
  </si>
  <si>
    <t>Persistence; Inhibit Response Function</t>
  </si>
  <si>
    <t>Modify system firmware for persistence</t>
  </si>
  <si>
    <t>T0857 System Firmware</t>
  </si>
  <si>
    <t>T0858</t>
  </si>
  <si>
    <t>Change Operating Mode</t>
  </si>
  <si>
    <t>Execution; Evasion</t>
  </si>
  <si>
    <t>Change PLC operating mode to gain access</t>
  </si>
  <si>
    <t>T0858 Change Operating Mode</t>
  </si>
  <si>
    <t>T0859</t>
  </si>
  <si>
    <t>Valid Accounts</t>
  </si>
  <si>
    <t>Persistence; Lateral Movement</t>
  </si>
  <si>
    <t>Use stolen or default credentials</t>
  </si>
  <si>
    <t>T0859 Valid Accounts</t>
  </si>
  <si>
    <t>T0860</t>
  </si>
  <si>
    <t>Wireless Compromise</t>
  </si>
  <si>
    <t>Perform initial access via wireless communication</t>
  </si>
  <si>
    <t>T0860 Wireless Compromise</t>
  </si>
  <si>
    <t>T0861</t>
  </si>
  <si>
    <t>Point &amp; Tag Identification</t>
  </si>
  <si>
    <t>Collection; Discovery</t>
  </si>
  <si>
    <t>Collect point/tag values for process understanding</t>
  </si>
  <si>
    <t>T0861 Point &amp; Tag Identification</t>
  </si>
  <si>
    <t>T0862</t>
  </si>
  <si>
    <t>Supply Chain Compromise</t>
  </si>
  <si>
    <t>Manipulate products prior to receipt</t>
  </si>
  <si>
    <t>T0862 Supply Chain Compromise</t>
  </si>
  <si>
    <t>T0863</t>
  </si>
  <si>
    <t>User Execution</t>
  </si>
  <si>
    <t>Rely on user action to execute malicious code</t>
  </si>
  <si>
    <t>T0863 User Execution</t>
  </si>
  <si>
    <t>T0865</t>
  </si>
  <si>
    <t>Spearphishing Attachment</t>
  </si>
  <si>
    <t>Use email attachment for initial access</t>
  </si>
  <si>
    <t>T0865 Spearphishing Attachment</t>
  </si>
  <si>
    <t>T0866</t>
  </si>
  <si>
    <t>Exploitation of Remote Services</t>
  </si>
  <si>
    <t>Exploit remote services for access</t>
  </si>
  <si>
    <t>T0866 Exploitation of Remote Services</t>
  </si>
  <si>
    <t>T0867</t>
  </si>
  <si>
    <t>Lateral Tool Transfer</t>
  </si>
  <si>
    <t>Transfer tools between systems</t>
  </si>
  <si>
    <t>T0867 Lateral Tool Transfer</t>
  </si>
  <si>
    <t>T0868</t>
  </si>
  <si>
    <t>Detect Operating Mode</t>
  </si>
  <si>
    <t>Gather PLC/controller operating mode info</t>
  </si>
  <si>
    <t>T0868 Detect Operating Mode</t>
  </si>
  <si>
    <t>T0871</t>
  </si>
  <si>
    <t>Execution through API</t>
  </si>
  <si>
    <t>Leverage APIs for communication with hardware</t>
  </si>
  <si>
    <t>T0871 Execution through API</t>
  </si>
  <si>
    <t>T0872</t>
  </si>
  <si>
    <t>Indicator Removal on Host</t>
  </si>
  <si>
    <t>Remove indicators of presence on system</t>
  </si>
  <si>
    <t>T0872 Indicator Removal on Host</t>
  </si>
  <si>
    <t>T0873</t>
  </si>
  <si>
    <t>Project File Infection</t>
  </si>
  <si>
    <t>Persistence</t>
  </si>
  <si>
    <t>Infect project files used for PLC programming</t>
  </si>
  <si>
    <t>T0873 Project File Infection</t>
  </si>
  <si>
    <t>T0874</t>
  </si>
  <si>
    <t>Hooking</t>
  </si>
  <si>
    <t>Execution; Privilege Escalation</t>
  </si>
  <si>
    <t>Hook into API functions for execution/privesc</t>
  </si>
  <si>
    <t>T0874 Hooking</t>
  </si>
  <si>
    <t>T0877</t>
  </si>
  <si>
    <t>I/O Image</t>
  </si>
  <si>
    <t>Capture process values from PLC I/O image table</t>
  </si>
  <si>
    <t>T0877 I/O Image</t>
  </si>
  <si>
    <t>T0878</t>
  </si>
  <si>
    <t>Alarm Suppression</t>
  </si>
  <si>
    <t>Suppress protection function alarms</t>
  </si>
  <si>
    <t>T0878 Alarm Suppression</t>
  </si>
  <si>
    <t>T0879</t>
  </si>
  <si>
    <t>Damage to Property</t>
  </si>
  <si>
    <t>Cause damage/destruction to infrastructure and equipment</t>
  </si>
  <si>
    <t>T0879 Damage to Property</t>
  </si>
  <si>
    <t>T0880</t>
  </si>
  <si>
    <t>Loss of Safety</t>
  </si>
  <si>
    <t>Compromise safety system functions</t>
  </si>
  <si>
    <t>T0880 Loss of Safety</t>
  </si>
  <si>
    <t>T0881</t>
  </si>
  <si>
    <t>Service Stop</t>
  </si>
  <si>
    <t>Stop services to disrupt control system operation</t>
  </si>
  <si>
    <t>T0881 Service Stop</t>
  </si>
  <si>
    <t>T0882</t>
  </si>
  <si>
    <t>Theft of Operational Information</t>
  </si>
  <si>
    <t>Steal operational information and intellectual property</t>
  </si>
  <si>
    <t>T0882 Theft of Operational Information</t>
  </si>
  <si>
    <t>T0884</t>
  </si>
  <si>
    <t>Connection Proxy</t>
  </si>
  <si>
    <t>Command and Control</t>
  </si>
  <si>
    <t>Use connection proxy to direct network traffic</t>
  </si>
  <si>
    <t>T0884 Connection Proxy</t>
  </si>
  <si>
    <t>T0885</t>
  </si>
  <si>
    <t>Commonly Used Port</t>
  </si>
  <si>
    <t>Communicate over commonly used ports</t>
  </si>
  <si>
    <t>T0885 Commonly Used Port</t>
  </si>
  <si>
    <t>T0886</t>
  </si>
  <si>
    <t>Remote System Information Discovery</t>
  </si>
  <si>
    <t>Discover make/model/version of remote devices</t>
  </si>
  <si>
    <t>T0886 Remote System Information Discovery</t>
  </si>
  <si>
    <t>T0887</t>
  </si>
  <si>
    <t>Wireless Sniffing</t>
  </si>
  <si>
    <t>Monitor wirelessly communicated data</t>
  </si>
  <si>
    <t>T0887 Wireless Sniffing</t>
  </si>
  <si>
    <t>T0888</t>
  </si>
  <si>
    <t>Remote Services</t>
  </si>
  <si>
    <t>Use remote accounts to log into services</t>
  </si>
  <si>
    <t>T0888 Remote Services</t>
  </si>
  <si>
    <t>T0889</t>
  </si>
  <si>
    <t>Modify Program</t>
  </si>
  <si>
    <t>Modify or add programs on a controller</t>
  </si>
  <si>
    <t>T0889 Modify Program</t>
  </si>
  <si>
    <t>T0890</t>
  </si>
  <si>
    <t>Exploitation for Privilege Escalation</t>
  </si>
  <si>
    <t>Privilege Escalation</t>
  </si>
  <si>
    <t>Exploit vulnerabilities to elevate privileges</t>
  </si>
  <si>
    <t>T0890 Exploitation for Privilege Escalation</t>
  </si>
  <si>
    <t>T0891</t>
  </si>
  <si>
    <t>Hardcoded Credentials</t>
  </si>
  <si>
    <t>Leverage hardcoded credentials in firmware/software</t>
  </si>
  <si>
    <t>T0891 Hardcoded Credentials</t>
  </si>
  <si>
    <t>T0892</t>
  </si>
  <si>
    <t>Change Credential</t>
  </si>
  <si>
    <t>Modify credentials to prevent access</t>
  </si>
  <si>
    <t>T0892 Change Credential</t>
  </si>
  <si>
    <t>T0893</t>
  </si>
  <si>
    <t>Data from Local System</t>
  </si>
  <si>
    <t>Collect data from local system sources</t>
  </si>
  <si>
    <t>T0893 Data from Local System</t>
  </si>
  <si>
    <t>T0895</t>
  </si>
  <si>
    <t>Autorun Image</t>
  </si>
  <si>
    <t>Initial Access; Execution</t>
  </si>
  <si>
    <t>Leverage AutoRun to execute malicious code</t>
  </si>
  <si>
    <t>T0895 Autorun Image</t>
  </si>
  <si>
    <t>T0869</t>
  </si>
  <si>
    <t>Standard Application Layer Protocol</t>
  </si>
  <si>
    <t>Use standard protocols for C2</t>
  </si>
  <si>
    <t>T0869 Standard Application Layer Protocol</t>
  </si>
  <si>
    <t>T1691</t>
  </si>
  <si>
    <t>Block Operational Technology Message</t>
  </si>
  <si>
    <t>Block OT messages between systems</t>
  </si>
  <si>
    <t>T1691 Block Operational Technology Message</t>
  </si>
  <si>
    <t>T1693</t>
  </si>
  <si>
    <t>Modify Firmware</t>
  </si>
  <si>
    <t>Modify firmware for malicious purposes</t>
  </si>
  <si>
    <t>T1693 Modify Firmware</t>
  </si>
  <si>
    <t>T1694</t>
  </si>
  <si>
    <t>Insecure Credentials</t>
  </si>
  <si>
    <t>Target insecure/default/hardcoded credentials</t>
  </si>
  <si>
    <t>T1694 Insecure Credentials</t>
  </si>
  <si>
    <t>T1695</t>
  </si>
  <si>
    <t>Block Communications</t>
  </si>
  <si>
    <t>Block OT communications to disrupt processes</t>
  </si>
  <si>
    <t>T1695 Block Communications</t>
  </si>
  <si>
    <t>Asset ID</t>
  </si>
  <si>
    <t>System Type</t>
  </si>
  <si>
    <t>Manufacturer</t>
  </si>
  <si>
    <t>Model</t>
  </si>
  <si>
    <t>FW/SW Version</t>
  </si>
  <si>
    <t>Network Zone</t>
  </si>
  <si>
    <t>Conduit ID</t>
  </si>
  <si>
    <t>Purdue Level</t>
  </si>
  <si>
    <t>SIL/Criticality</t>
  </si>
  <si>
    <t>Protocol(s)</t>
  </si>
  <si>
    <t>Physical Location</t>
  </si>
  <si>
    <t>IP Address</t>
  </si>
  <si>
    <t>Asset Display Name</t>
  </si>
  <si>
    <t>ASSET-001</t>
  </si>
  <si>
    <t>SIS</t>
  </si>
  <si>
    <t>ASSET-001 | SIS</t>
  </si>
  <si>
    <t>ASSET-002</t>
  </si>
  <si>
    <t>BPCS</t>
  </si>
  <si>
    <t>ASSET-002 | BPCS</t>
  </si>
  <si>
    <t>ASSET-003</t>
  </si>
  <si>
    <t>DCS</t>
  </si>
  <si>
    <t>ASSET-003 | DCS</t>
  </si>
  <si>
    <t>ASSET-004</t>
  </si>
  <si>
    <t>PLC</t>
  </si>
  <si>
    <t>ASSET-004 | PLC</t>
  </si>
  <si>
    <t>ASSET-005</t>
  </si>
  <si>
    <t>RTU</t>
  </si>
  <si>
    <t>ASSET-005 | RTU</t>
  </si>
  <si>
    <t>ASSET-006</t>
  </si>
  <si>
    <t>IED</t>
  </si>
  <si>
    <t>ASSET-006 | IED</t>
  </si>
  <si>
    <t>ASSET-007</t>
  </si>
  <si>
    <t>HMI</t>
  </si>
  <si>
    <t>ASSET-007 | HMI</t>
  </si>
  <si>
    <t>ASSET-008</t>
  </si>
  <si>
    <t>EWS</t>
  </si>
  <si>
    <t>ASSET-008 | EWS</t>
  </si>
  <si>
    <t>ASSET-009</t>
  </si>
  <si>
    <t>OWS</t>
  </si>
  <si>
    <t>ASSET-009 | OWS</t>
  </si>
  <si>
    <t>ASSET-010</t>
  </si>
  <si>
    <t>Data Historian</t>
  </si>
  <si>
    <t>ASSET-010 | Data Historian</t>
  </si>
  <si>
    <t>ASSET-011</t>
  </si>
  <si>
    <t>Application Server</t>
  </si>
  <si>
    <t>ASSET-011 | Application Server</t>
  </si>
  <si>
    <t>ASSET-012</t>
  </si>
  <si>
    <t>Domain Controller</t>
  </si>
  <si>
    <t>ASSET-012 | Domain Controller</t>
  </si>
  <si>
    <t>ASSET-013</t>
  </si>
  <si>
    <t>Network Switch</t>
  </si>
  <si>
    <t>ASSET-013 | Network Switch</t>
  </si>
  <si>
    <t>ASSET-014</t>
  </si>
  <si>
    <t>Firewall</t>
  </si>
  <si>
    <t>ASSET-014 | Firewall</t>
  </si>
  <si>
    <t>ASSET-015</t>
  </si>
  <si>
    <t>Router</t>
  </si>
  <si>
    <t>ASSET-015 | Router</t>
  </si>
  <si>
    <t>ASSET-016</t>
  </si>
  <si>
    <t>Wireless AP</t>
  </si>
  <si>
    <t>ASSET-016 | Wireless AP</t>
  </si>
  <si>
    <t>ASSET-017</t>
  </si>
  <si>
    <t>Safety Controller</t>
  </si>
  <si>
    <t>ASSET-017 | Safety Controller</t>
  </si>
  <si>
    <t>ASSET-018</t>
  </si>
  <si>
    <t>VFD/Motor Controller</t>
  </si>
  <si>
    <t>ASSET-018 | VFD/Motor Controller</t>
  </si>
  <si>
    <t>ASSET-019</t>
  </si>
  <si>
    <t>Sensor/Transmitter</t>
  </si>
  <si>
    <t>ASSET-019 | Sensor/Transmitter</t>
  </si>
  <si>
    <t>ASSET-020</t>
  </si>
  <si>
    <t>Actuator/Valve</t>
  </si>
  <si>
    <t>ASSET-020 | Actuator/Valve</t>
  </si>
  <si>
    <t>ASSET-021</t>
  </si>
  <si>
    <t>UPS/Power</t>
  </si>
  <si>
    <t>ASSET-021 | UPS/Power</t>
  </si>
  <si>
    <t>ASSET-022</t>
  </si>
  <si>
    <t>Communication Gateway</t>
  </si>
  <si>
    <t>ASSET-022 | Communication Gateway</t>
  </si>
  <si>
    <t>ASSET-023</t>
  </si>
  <si>
    <t>SCADA Server</t>
  </si>
  <si>
    <t>ASSET-023 | SCADA Server</t>
  </si>
  <si>
    <t>ASSET-024</t>
  </si>
  <si>
    <t>Patch Management Server</t>
  </si>
  <si>
    <t>ASSET-024 | Patch Management Server</t>
  </si>
  <si>
    <t>ASSET-025</t>
  </si>
  <si>
    <t>AV/Whitelisting Server</t>
  </si>
  <si>
    <t>ASSET-025 | AV/Whitelisting Server</t>
  </si>
  <si>
    <t>ASSET-026</t>
  </si>
  <si>
    <t>Jump Host/Bastion</t>
  </si>
  <si>
    <t>ASSET-026 | Jump Host/Bastion</t>
  </si>
  <si>
    <t>ASSET-027</t>
  </si>
  <si>
    <t>DMZ Server</t>
  </si>
  <si>
    <t>ASSET-027 | DMZ Server</t>
  </si>
  <si>
    <t>Test ID</t>
  </si>
  <si>
    <t>Requirement ID</t>
  </si>
  <si>
    <t>Target SL</t>
  </si>
  <si>
    <t>CVSS v4.0 Base Score</t>
  </si>
  <si>
    <t>CVSS v4.0 Severity</t>
  </si>
  <si>
    <t>CVSS v4.0 Vector String</t>
  </si>
  <si>
    <t>Risk Ranking</t>
  </si>
  <si>
    <t>Tester Name</t>
  </si>
  <si>
    <t>Tester Organization</t>
  </si>
  <si>
    <t>Tester Role</t>
  </si>
  <si>
    <t>Test Date/Time</t>
  </si>
  <si>
    <t>Test Method</t>
  </si>
  <si>
    <t>Tools Used</t>
  </si>
  <si>
    <t>Expected Results</t>
  </si>
  <si>
    <t>Actual Results</t>
  </si>
  <si>
    <t>Test Status</t>
  </si>
  <si>
    <t>Artifacts Collected</t>
  </si>
  <si>
    <t>Evidence Reference</t>
  </si>
  <si>
    <t>Compensating Controls</t>
  </si>
  <si>
    <t>Findings/Observations</t>
  </si>
  <si>
    <t>Recommendations</t>
  </si>
  <si>
    <t>Impact (ATT&amp;CK ICS)</t>
  </si>
  <si>
    <t>Consequence (CyberPHA/HAZOP)</t>
  </si>
  <si>
    <t>Likelihood</t>
  </si>
  <si>
    <t>Vulnerability Type (ATT&amp;CK ICS)</t>
  </si>
  <si>
    <t>Threat Level</t>
  </si>
  <si>
    <t>TST-0001</t>
  </si>
  <si>
    <t>TST-0002</t>
  </si>
  <si>
    <t>TST-0003</t>
  </si>
  <si>
    <t>TST-0004</t>
  </si>
  <si>
    <t>TST-0005</t>
  </si>
  <si>
    <t>TST-0006</t>
  </si>
  <si>
    <t>TST-0007</t>
  </si>
  <si>
    <t>TST-0008</t>
  </si>
  <si>
    <t>TST-0009</t>
  </si>
  <si>
    <t>TST-0010</t>
  </si>
  <si>
    <t>TST-0011</t>
  </si>
  <si>
    <t>TST-0012</t>
  </si>
  <si>
    <t>TST-0013</t>
  </si>
  <si>
    <t>TST-0014</t>
  </si>
  <si>
    <t>TST-0015</t>
  </si>
  <si>
    <t>TST-0016</t>
  </si>
  <si>
    <t>TST-0017</t>
  </si>
  <si>
    <t>TST-0018</t>
  </si>
  <si>
    <t>TST-0019</t>
  </si>
  <si>
    <t>TST-0020</t>
  </si>
  <si>
    <t>TST-0021</t>
  </si>
  <si>
    <t>TST-0022</t>
  </si>
  <si>
    <t>TST-0023</t>
  </si>
  <si>
    <t>TST-0024</t>
  </si>
  <si>
    <t>TST-0025</t>
  </si>
  <si>
    <t>TST-0026</t>
  </si>
  <si>
    <t>TST-0027</t>
  </si>
  <si>
    <t>TST-0028</t>
  </si>
  <si>
    <t>TST-0029</t>
  </si>
  <si>
    <t>TST-0030</t>
  </si>
  <si>
    <t>TST-0031</t>
  </si>
  <si>
    <t>TST-0032</t>
  </si>
  <si>
    <t>TST-0033</t>
  </si>
  <si>
    <t>TST-0034</t>
  </si>
  <si>
    <t>TST-0035</t>
  </si>
  <si>
    <t>TST-0036</t>
  </si>
  <si>
    <t>TST-0037</t>
  </si>
  <si>
    <t>TST-0038</t>
  </si>
  <si>
    <t>TST-0039</t>
  </si>
  <si>
    <t>TST-0040</t>
  </si>
  <si>
    <t>TST-0041</t>
  </si>
  <si>
    <t>TST-0042</t>
  </si>
  <si>
    <t>TST-0043</t>
  </si>
  <si>
    <t>TST-0044</t>
  </si>
  <si>
    <t>TST-0045</t>
  </si>
  <si>
    <t>TST-0046</t>
  </si>
  <si>
    <t>TST-0047</t>
  </si>
  <si>
    <t>TST-0048</t>
  </si>
  <si>
    <t>TST-0049</t>
  </si>
  <si>
    <t>TST-0050</t>
  </si>
  <si>
    <t>TST-0051</t>
  </si>
  <si>
    <t>TST-0052</t>
  </si>
  <si>
    <t>TST-0053</t>
  </si>
  <si>
    <t>TST-0054</t>
  </si>
  <si>
    <t>TST-0055</t>
  </si>
  <si>
    <t>TST-0056</t>
  </si>
  <si>
    <t>TST-0057</t>
  </si>
  <si>
    <t>TST-0058</t>
  </si>
  <si>
    <t>TST-0059</t>
  </si>
  <si>
    <t>TST-0060</t>
  </si>
  <si>
    <t>TST-0061</t>
  </si>
  <si>
    <t>TST-0062</t>
  </si>
  <si>
    <t>TST-0063</t>
  </si>
  <si>
    <t>TST-0064</t>
  </si>
  <si>
    <t>TST-0065</t>
  </si>
  <si>
    <t>TST-0066</t>
  </si>
  <si>
    <t>TST-0067</t>
  </si>
  <si>
    <t>TST-0068</t>
  </si>
  <si>
    <t>TST-0069</t>
  </si>
  <si>
    <t>TST-0070</t>
  </si>
  <si>
    <t>TST-0071</t>
  </si>
  <si>
    <t>TST-0072</t>
  </si>
  <si>
    <t>TST-0073</t>
  </si>
  <si>
    <t>TST-0074</t>
  </si>
  <si>
    <t>TST-0075</t>
  </si>
  <si>
    <t>TST-0076</t>
  </si>
  <si>
    <t>TST-0077</t>
  </si>
  <si>
    <t>TST-0078</t>
  </si>
  <si>
    <t>TST-0079</t>
  </si>
  <si>
    <t>TST-0080</t>
  </si>
  <si>
    <t>TST-0081</t>
  </si>
  <si>
    <t>TST-0082</t>
  </si>
  <si>
    <t>TST-0083</t>
  </si>
  <si>
    <t>TST-0084</t>
  </si>
  <si>
    <t>TST-0085</t>
  </si>
  <si>
    <t>TST-0086</t>
  </si>
  <si>
    <t>TST-0087</t>
  </si>
  <si>
    <t>TST-0088</t>
  </si>
  <si>
    <t>TST-0089</t>
  </si>
  <si>
    <t>TST-0090</t>
  </si>
  <si>
    <t>TST-0091</t>
  </si>
  <si>
    <t>TST-0092</t>
  </si>
  <si>
    <t>TST-0093</t>
  </si>
  <si>
    <t>TST-0094</t>
  </si>
  <si>
    <t>TST-0095</t>
  </si>
  <si>
    <t>TST-0096</t>
  </si>
  <si>
    <t>TST-0097</t>
  </si>
  <si>
    <t>TST-0098</t>
  </si>
  <si>
    <t>TST-0099</t>
  </si>
  <si>
    <t>TST-0100</t>
  </si>
  <si>
    <t>Metric Group</t>
  </si>
  <si>
    <t>Metric</t>
  </si>
  <si>
    <t>ID</t>
  </si>
  <si>
    <t>Value Options</t>
  </si>
  <si>
    <t>Description</t>
  </si>
  <si>
    <t>Base-Exploitability</t>
  </si>
  <si>
    <t>Attack Vector</t>
  </si>
  <si>
    <t>AV</t>
  </si>
  <si>
    <t>Network(N),Adjacent(A),Local(L),Physical(P)</t>
  </si>
  <si>
    <t>How vulnerability is exploited</t>
  </si>
  <si>
    <t>Attack Complexity</t>
  </si>
  <si>
    <t>AC</t>
  </si>
  <si>
    <t>Low(L),High(H)</t>
  </si>
  <si>
    <t>Conditions beyond attacker control</t>
  </si>
  <si>
    <t>Attack Requirements</t>
  </si>
  <si>
    <t>AT</t>
  </si>
  <si>
    <t>None(N),Present(P)</t>
  </si>
  <si>
    <t>Prerequisites for attack</t>
  </si>
  <si>
    <t>Privileges Required</t>
  </si>
  <si>
    <t>PR</t>
  </si>
  <si>
    <t>None(N),Low(L),High(H)</t>
  </si>
  <si>
    <t>Privilege level needed</t>
  </si>
  <si>
    <t>User Interaction</t>
  </si>
  <si>
    <t>UI</t>
  </si>
  <si>
    <t>None(N),Passive(P),Active(A)</t>
  </si>
  <si>
    <t>User interaction needed</t>
  </si>
  <si>
    <t>Base-Vulnerable Sys</t>
  </si>
  <si>
    <t>Confidentiality (VC)</t>
  </si>
  <si>
    <t>VC</t>
  </si>
  <si>
    <t>C impact to vulnerable system</t>
  </si>
  <si>
    <t>Integrity (VI)</t>
  </si>
  <si>
    <t>VI</t>
  </si>
  <si>
    <t>I impact to vulnerable system</t>
  </si>
  <si>
    <t>Availability (VA)</t>
  </si>
  <si>
    <t>VA</t>
  </si>
  <si>
    <t>A impact to vulnerable system</t>
  </si>
  <si>
    <t>Base-Subsequent Sys</t>
  </si>
  <si>
    <t>Confidentiality (SC)</t>
  </si>
  <si>
    <t>SC</t>
  </si>
  <si>
    <t>C impact to subsequent system</t>
  </si>
  <si>
    <t>Integrity (SI)</t>
  </si>
  <si>
    <t>SI</t>
  </si>
  <si>
    <t>I impact to subsequent system</t>
  </si>
  <si>
    <t>Availability (SA)</t>
  </si>
  <si>
    <t>SA</t>
  </si>
  <si>
    <t>A impact to subsequent system</t>
  </si>
  <si>
    <t>Supplemental</t>
  </si>
  <si>
    <t>Safety (S)</t>
  </si>
  <si>
    <t>S</t>
  </si>
  <si>
    <t>Not Defined(X),Negligible(N),Present(P)</t>
  </si>
  <si>
    <t>Physical safety impact</t>
  </si>
  <si>
    <t>Automatable (AU)</t>
  </si>
  <si>
    <t>AU</t>
  </si>
  <si>
    <t>Not Defined(X),No(N),Yes(Y)</t>
  </si>
  <si>
    <t>Can attack be automated</t>
  </si>
  <si>
    <t>Recovery (R)</t>
  </si>
  <si>
    <t>R</t>
  </si>
  <si>
    <t>Not Defined(X),Automatic(A),User(U),Irrecoverable(I)</t>
  </si>
  <si>
    <t>Recovery capability</t>
  </si>
  <si>
    <t>Threat</t>
  </si>
  <si>
    <t>Exploit Maturity</t>
  </si>
  <si>
    <t>E</t>
  </si>
  <si>
    <t>Not Defined(X),Attacked(A),POC(P),Unreported(U)</t>
  </si>
  <si>
    <t>Exploit availability</t>
  </si>
  <si>
    <t>OT Cyber-Physical Security Risk Assessment Matrix</t>
  </si>
  <si>
    <t>Likelihood \ Impact</t>
  </si>
  <si>
    <t>Catastrophic</t>
  </si>
  <si>
    <t>Critical</t>
  </si>
  <si>
    <t>Major</t>
  </si>
  <si>
    <t>Moderate</t>
  </si>
  <si>
    <t>Minor</t>
  </si>
  <si>
    <t>Almost Certain</t>
  </si>
  <si>
    <t>High</t>
  </si>
  <si>
    <t>Likely</t>
  </si>
  <si>
    <t>Medium</t>
  </si>
  <si>
    <t>Possible</t>
  </si>
  <si>
    <t>Unlikely</t>
  </si>
  <si>
    <t>Low</t>
  </si>
  <si>
    <t>Rare</t>
  </si>
  <si>
    <t>Security Assurance Decision Framework</t>
  </si>
  <si>
    <t>Decision Level</t>
  </si>
  <si>
    <t>Criteria</t>
  </si>
  <si>
    <t>CVSS v4.0 Range</t>
  </si>
  <si>
    <t>Risk Level</t>
  </si>
  <si>
    <t>Conditions</t>
  </si>
  <si>
    <t>Action</t>
  </si>
  <si>
    <t>Rejection</t>
  </si>
  <si>
    <t>&gt;=9.0</t>
  </si>
  <si>
    <t>Critical finding without compensating controls</t>
  </si>
  <si>
    <t>Do not deploy. Remediate and retest.</t>
  </si>
  <si>
    <t>7.0-8.9</t>
  </si>
  <si>
    <t>Conditional Assurance</t>
  </si>
  <si>
    <t>Meets target SL; medium findings with mitigations</t>
  </si>
  <si>
    <t>4.0-6.9</t>
  </si>
  <si>
    <t>Reasonable Assurance</t>
  </si>
  <si>
    <t>Meets/exceeds target SL; low/informational only</t>
  </si>
  <si>
    <t>0.0-3.9</t>
  </si>
  <si>
    <t>Low/None</t>
  </si>
  <si>
    <t>No unmitigated findings above Low</t>
  </si>
  <si>
    <t>POA&amp;M ID</t>
  </si>
  <si>
    <t>Source</t>
  </si>
  <si>
    <t>Test ID Ref</t>
  </si>
  <si>
    <t>Affected System(s)</t>
  </si>
  <si>
    <t>CVSS v4.0 Score</t>
  </si>
  <si>
    <t>Corrective Action</t>
  </si>
  <si>
    <t>Responsible Owner</t>
  </si>
  <si>
    <t>Target Date</t>
  </si>
  <si>
    <t>Status</t>
  </si>
  <si>
    <t>Days Open</t>
  </si>
  <si>
    <t>Completion Date</t>
  </si>
  <si>
    <t>Verification Method</t>
  </si>
  <si>
    <t>Notes</t>
  </si>
  <si>
    <t>POAM-001</t>
  </si>
  <si>
    <t>POAM-002</t>
  </si>
  <si>
    <t>POAM-003</t>
  </si>
  <si>
    <t>POAM-004</t>
  </si>
  <si>
    <t>POAM-005</t>
  </si>
  <si>
    <t>POAM-006</t>
  </si>
  <si>
    <t>POAM-007</t>
  </si>
  <si>
    <t>POAM-008</t>
  </si>
  <si>
    <t>POAM-009</t>
  </si>
  <si>
    <t>POAM-010</t>
  </si>
  <si>
    <t>POAM-011</t>
  </si>
  <si>
    <t>POAM-012</t>
  </si>
  <si>
    <t>POAM-013</t>
  </si>
  <si>
    <t>POAM-014</t>
  </si>
  <si>
    <t>POAM-015</t>
  </si>
  <si>
    <t>POAM-016</t>
  </si>
  <si>
    <t>POAM-017</t>
  </si>
  <si>
    <t>POAM-018</t>
  </si>
  <si>
    <t>POAM-019</t>
  </si>
  <si>
    <t>POAM-020</t>
  </si>
  <si>
    <t>POAM-021</t>
  </si>
  <si>
    <t>POAM-022</t>
  </si>
  <si>
    <t>POAM-023</t>
  </si>
  <si>
    <t>POAM-024</t>
  </si>
  <si>
    <t>POAM-025</t>
  </si>
  <si>
    <t>POAM-026</t>
  </si>
  <si>
    <t>POAM-027</t>
  </si>
  <si>
    <t>POAM-028</t>
  </si>
  <si>
    <t>POAM-029</t>
  </si>
  <si>
    <t>POAM-030</t>
  </si>
  <si>
    <t>POAM-031</t>
  </si>
  <si>
    <t>POAM-032</t>
  </si>
  <si>
    <t>POAM-033</t>
  </si>
  <si>
    <t>POAM-034</t>
  </si>
  <si>
    <t>POAM-035</t>
  </si>
  <si>
    <t>POAM-036</t>
  </si>
  <si>
    <t>POAM-037</t>
  </si>
  <si>
    <t>POAM-038</t>
  </si>
  <si>
    <t>POAM-039</t>
  </si>
  <si>
    <t>POAM-040</t>
  </si>
  <si>
    <t>POAM-041</t>
  </si>
  <si>
    <t>POAM-042</t>
  </si>
  <si>
    <t>POAM-043</t>
  </si>
  <si>
    <t>POAM-044</t>
  </si>
  <si>
    <t>POAM-045</t>
  </si>
  <si>
    <t>POAM-046</t>
  </si>
  <si>
    <t>POAM-047</t>
  </si>
  <si>
    <t>POAM-048</t>
  </si>
  <si>
    <t>POAM-049</t>
  </si>
  <si>
    <t>POAM-050</t>
  </si>
  <si>
    <t>OT Cyber-Physical Security Assurance Test Metrics Dashboard</t>
  </si>
  <si>
    <t>Test Status Summary</t>
  </si>
  <si>
    <t>Count</t>
  </si>
  <si>
    <t>%</t>
  </si>
  <si>
    <t>FR Coverage by Risk Ranking</t>
  </si>
  <si>
    <t>Total Tested</t>
  </si>
  <si>
    <t>Tests</t>
  </si>
  <si>
    <t>Pass</t>
  </si>
  <si>
    <t xml:space="preserve">FR1 - Identification and Authentication </t>
  </si>
  <si>
    <t>Fail</t>
  </si>
  <si>
    <t>Partial</t>
  </si>
  <si>
    <t>Not Tested</t>
  </si>
  <si>
    <t>Not Applicable</t>
  </si>
  <si>
    <t>Deferred</t>
  </si>
  <si>
    <t>Risk Ranking Distribution</t>
  </si>
  <si>
    <t>ATT&amp;CK ICS Impact Technique Distribution</t>
  </si>
  <si>
    <t>Impact Technique</t>
  </si>
  <si>
    <t>Consequence Type Distribution (CyberPHA/HAZOP/FMEA)</t>
  </si>
  <si>
    <t>Consequence Type</t>
  </si>
  <si>
    <t>Loss of Life / Injury</t>
  </si>
  <si>
    <t>Environmental Release</t>
  </si>
  <si>
    <t>Equipment Damage</t>
  </si>
  <si>
    <t>Production Loss</t>
  </si>
  <si>
    <t>Financial Loss</t>
  </si>
  <si>
    <t>Safety System Bypass</t>
  </si>
  <si>
    <t>Fire/explosion</t>
  </si>
  <si>
    <t>Cascading failure</t>
  </si>
  <si>
    <t>PLC/RTU Logic Manipulation</t>
  </si>
  <si>
    <t>SIS Bypass/Compromise</t>
  </si>
  <si>
    <t>Human Error (Operator)</t>
  </si>
  <si>
    <t>OT CYBER-PHYSICAL SECURITY ASSURANCE TEST REPORT</t>
  </si>
  <si>
    <t>Report Information</t>
  </si>
  <si>
    <t>Report Title:</t>
  </si>
  <si>
    <t>Document Classification:</t>
  </si>
  <si>
    <t>CONFIDENTIAL</t>
  </si>
  <si>
    <t>Report Date:</t>
  </si>
  <si>
    <t>2026-05-25</t>
  </si>
  <si>
    <t>Prepared By:</t>
  </si>
  <si>
    <t>Organization:</t>
  </si>
  <si>
    <t>Executive Summary</t>
  </si>
  <si>
    <t>Overall Assurance Decision:</t>
  </si>
  <si>
    <t>Summary Statistics (Auto-Populated)</t>
  </si>
  <si>
    <t>Total Tested:</t>
  </si>
  <si>
    <t>Pass:</t>
  </si>
  <si>
    <t>Fail:</t>
  </si>
  <si>
    <t>Critical Findings:</t>
  </si>
  <si>
    <t>High Findings:</t>
  </si>
  <si>
    <t>Medium Findings:</t>
  </si>
  <si>
    <t>Low Findings:</t>
  </si>
  <si>
    <t>Assurance Decision Statements</t>
  </si>
  <si>
    <t>REJECTION</t>
  </si>
  <si>
    <t>CONDITIONAL ASSURANCE</t>
  </si>
  <si>
    <t>REASONABLE ASSURANCE</t>
  </si>
  <si>
    <t>Fails minimum SL-3; critical/high unmitigated</t>
  </si>
  <si>
    <t>Meets SL-3; high findings with compensating controls</t>
  </si>
  <si>
    <t>High findings with documented compensating controls + 30 day POA&amp;M</t>
  </si>
  <si>
    <t>Conditional deployment with monitoring + 30 mitigation POA&amp;M.</t>
  </si>
  <si>
    <t>Medium findings with 60 day remediation timeline</t>
  </si>
  <si>
    <t>Deploy with conditions and scheduled reassessment. 60 day mitigation POAM</t>
  </si>
  <si>
    <t>Full deployment authorization. 6-12 month mitigation POAM</t>
  </si>
  <si>
    <t>Asset Type Under Test</t>
  </si>
  <si>
    <t>Limited Assurance</t>
  </si>
  <si>
    <t>LIMITED ASSURANCE</t>
  </si>
  <si>
    <t>System meets SL-3 baseline but has high-severity findings (CVSS 7.0-8.9) requiring documented compensating controls per ISA/IEC 62443-3-3. Conditional deployment ONLY with continuous monitoring, compensating countermeasures, and POA&amp;M with &lt;=30 day remediation.</t>
  </si>
  <si>
    <t>System meets target SL with medium-severity findings (CVSS 4.0-6.9) having identified mitigations. Authorized with conditions: scheduled reassessment within 60 days, documented risk acceptance by asset owner, and implementation of recommended mitigations.</t>
  </si>
  <si>
    <t>System meets/exceeds SL-T. Only low/informational findings (CVSS 0.0-3.9). Security controls properly designed, implemented, and operating effectively. Full deployment authorized. 6-12 Month mitigation continuous monitoring POAM</t>
  </si>
  <si>
    <t xml:space="preserve">System DOES NOT meet minimum SL-T. Critical/unmitigated high-severity (CVSS &gt;=9.0) vulnerabilities present unacceptable HSE/operational risk. DO NOT deploy until all critical findings remediated and retested. Pre-golive punchlist must be fixed. Must lower risk to Medium or Low with respective POAM timelines. </t>
  </si>
  <si>
    <t>Asset Name</t>
  </si>
  <si>
    <t>Asset BMS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</si>
</sst>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charset val="1"/>
    </font>
    <font>
      <b/>
      <sz val="16"/>
      <color rgb="FFFFFFFF"/>
      <name val="Arial"/>
      <charset val="1"/>
    </font>
    <font>
      <i/>
      <sz val="10"/>
      <name val="Arial"/>
      <charset val="1"/>
    </font>
    <font>
      <b/>
      <sz val="12"/>
      <color rgb="FFFFFFFF"/>
      <name val="Arial"/>
      <charset val="1"/>
    </font>
    <font>
      <b/>
      <sz val="10"/>
      <name val="Arial"/>
      <charset val="1"/>
    </font>
    <font>
      <sz val="10"/>
      <name val="Arial"/>
      <charset val="1"/>
    </font>
    <font>
      <b/>
      <sz val="10"/>
      <color rgb="FFFFFFFF"/>
      <name val="Arial"/>
      <charset val="1"/>
    </font>
    <font>
      <sz val="9"/>
      <name val="Arial"/>
      <charset val="1"/>
    </font>
    <font>
      <b/>
      <sz val="14"/>
      <color rgb="FFFFFFFF"/>
      <name val="Arial"/>
      <charset val="1"/>
    </font>
    <font>
      <b/>
      <sz val="10"/>
      <color rgb="FF000000"/>
      <name val="Arial"/>
      <charset val="1"/>
    </font>
    <font>
      <b/>
      <sz val="9"/>
      <name val="Arial"/>
      <charset val="1"/>
    </font>
    <font>
      <b/>
      <sz val="11"/>
      <color rgb="FFFFFFFF"/>
      <name val="Arial"/>
      <charset val="1"/>
    </font>
    <font>
      <b/>
      <sz val="18"/>
      <color rgb="FFFFFFFF"/>
      <name val="Arial"/>
      <charset val="1"/>
    </font>
    <font>
      <b/>
      <sz val="13"/>
      <color rgb="FFFFFFFF"/>
      <name val="Arial"/>
      <charset val="1"/>
    </font>
    <font>
      <b/>
      <sz val="11"/>
      <color rgb="FF000000"/>
      <name val="Arial"/>
      <charset val="1"/>
    </font>
    <font>
      <sz val="10"/>
      <name val="Arial"/>
      <family val="2"/>
    </font>
    <font>
      <sz val="9"/>
      <name val="Arial"/>
      <family val="2"/>
    </font>
    <font>
      <b/>
      <sz val="10"/>
      <color rgb="FFFFFFFF"/>
      <name val="Arial"/>
      <family val="2"/>
    </font>
    <font>
      <b/>
      <sz val="11"/>
      <color rgb="FFFFFFFF"/>
      <name val="Arial"/>
      <family val="2"/>
    </font>
  </fonts>
  <fills count="13">
    <fill>
      <patternFill patternType="none"/>
    </fill>
    <fill>
      <patternFill patternType="gray125"/>
    </fill>
    <fill>
      <patternFill patternType="solid">
        <fgColor rgb="FF1B2A4A"/>
        <bgColor rgb="FF2C3E6B"/>
      </patternFill>
    </fill>
    <fill>
      <patternFill patternType="solid">
        <fgColor rgb="FF2C3E6B"/>
        <bgColor rgb="FF1F4E79"/>
      </patternFill>
    </fill>
    <fill>
      <patternFill patternType="solid">
        <fgColor rgb="FF1F4E79"/>
        <bgColor rgb="FF2C3E6B"/>
      </patternFill>
    </fill>
    <fill>
      <patternFill patternType="solid">
        <fgColor rgb="FFC00000"/>
        <bgColor rgb="FF800000"/>
      </patternFill>
    </fill>
    <fill>
      <patternFill patternType="solid">
        <fgColor rgb="FF4472C4"/>
        <bgColor rgb="FF4F81BD"/>
      </patternFill>
    </fill>
    <fill>
      <patternFill patternType="solid">
        <fgColor rgb="FFED7D31"/>
        <bgColor rgb="FFF79646"/>
      </patternFill>
    </fill>
    <fill>
      <patternFill patternType="solid">
        <fgColor rgb="FFFFC000"/>
        <bgColor rgb="FFF79646"/>
      </patternFill>
    </fill>
    <fill>
      <patternFill patternType="solid">
        <fgColor rgb="FF70AD47"/>
        <bgColor rgb="FF9BBB59"/>
      </patternFill>
    </fill>
    <fill>
      <patternFill patternType="solid">
        <fgColor rgb="FFA5A5A5"/>
        <bgColor rgb="FFC0C0C0"/>
      </patternFill>
    </fill>
    <fill>
      <patternFill patternType="solid">
        <fgColor rgb="FF00B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1" fillId="9" borderId="0" xfId="0" applyFont="1" applyFill="1"/>
    <xf numFmtId="0" fontId="14" fillId="8" borderId="0" xfId="0" applyFont="1" applyFill="1"/>
    <xf numFmtId="0" fontId="11" fillId="7" borderId="0" xfId="0" applyFont="1" applyFill="1"/>
    <xf numFmtId="0" fontId="7" fillId="0" borderId="0" xfId="0" applyFont="1" applyAlignment="1">
      <alignment wrapText="1"/>
    </xf>
    <xf numFmtId="0" fontId="11" fillId="5" borderId="0" xfId="0" applyFont="1" applyFill="1"/>
    <xf numFmtId="0" fontId="13" fillId="3" borderId="0" xfId="0" applyFont="1" applyFill="1"/>
    <xf numFmtId="0" fontId="12" fillId="2" borderId="0" xfId="0" applyFont="1" applyFill="1"/>
    <xf numFmtId="0" fontId="11" fillId="2" borderId="0" xfId="0" applyFont="1" applyFill="1"/>
    <xf numFmtId="0" fontId="3" fillId="2" borderId="0" xfId="0" applyFont="1" applyFill="1"/>
    <xf numFmtId="0" fontId="8" fillId="2" borderId="0" xfId="0" applyFont="1" applyFill="1"/>
    <xf numFmtId="0" fontId="3" fillId="3" borderId="0" xfId="0" applyFont="1" applyFill="1"/>
    <xf numFmtId="0" fontId="1" fillId="2" borderId="0" xfId="0" applyFont="1" applyFill="1"/>
    <xf numFmtId="0" fontId="2" fillId="0" borderId="0" xfId="0" applyFont="1"/>
    <xf numFmtId="0" fontId="4" fillId="0" borderId="1" xfId="0" applyFont="1" applyBorder="1"/>
    <xf numFmtId="0" fontId="5" fillId="0" borderId="1" xfId="0" applyFont="1" applyBorder="1" applyAlignment="1">
      <alignment wrapText="1"/>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5" borderId="1" xfId="0" applyFont="1" applyFill="1" applyBorder="1" applyAlignment="1">
      <alignment horizontal="center"/>
    </xf>
    <xf numFmtId="0" fontId="6" fillId="7" borderId="1" xfId="0" applyFont="1" applyFill="1" applyBorder="1" applyAlignment="1">
      <alignment horizontal="center"/>
    </xf>
    <xf numFmtId="0" fontId="9" fillId="8" borderId="1" xfId="0" applyFont="1" applyFill="1" applyBorder="1" applyAlignment="1">
      <alignment horizontal="center"/>
    </xf>
    <xf numFmtId="0" fontId="6" fillId="9" borderId="1" xfId="0" applyFont="1" applyFill="1" applyBorder="1" applyAlignment="1">
      <alignment horizontal="center"/>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xf numFmtId="164" fontId="0" fillId="0" borderId="1" xfId="0" applyNumberFormat="1" applyBorder="1"/>
    <xf numFmtId="0" fontId="10" fillId="0" borderId="1" xfId="0" applyFont="1" applyBorder="1"/>
    <xf numFmtId="0" fontId="6" fillId="5" borderId="1" xfId="0" applyFont="1" applyFill="1" applyBorder="1"/>
    <xf numFmtId="0" fontId="6" fillId="7" borderId="1" xfId="0" applyFont="1" applyFill="1" applyBorder="1"/>
    <xf numFmtId="0" fontId="9" fillId="8" borderId="1" xfId="0" applyFont="1" applyFill="1" applyBorder="1"/>
    <xf numFmtId="0" fontId="6" fillId="10" borderId="1" xfId="0" applyFont="1" applyFill="1" applyBorder="1"/>
    <xf numFmtId="0" fontId="7" fillId="0" borderId="1" xfId="0" applyFont="1" applyBorder="1"/>
    <xf numFmtId="0" fontId="6" fillId="6" borderId="1" xfId="0" applyFont="1" applyFill="1" applyBorder="1"/>
    <xf numFmtId="0" fontId="4" fillId="0" borderId="0" xfId="0" applyFont="1"/>
    <xf numFmtId="0" fontId="0" fillId="8" borderId="0" xfId="0" applyFill="1"/>
    <xf numFmtId="0" fontId="6" fillId="11" borderId="1" xfId="0" applyFont="1" applyFill="1" applyBorder="1" applyAlignment="1">
      <alignment horizontal="left" vertical="center" wrapText="1"/>
    </xf>
    <xf numFmtId="0" fontId="15" fillId="12" borderId="1" xfId="0" applyFont="1" applyFill="1" applyBorder="1" applyAlignment="1">
      <alignment horizontal="right" vertical="center" wrapText="1"/>
    </xf>
    <xf numFmtId="164" fontId="15" fillId="12" borderId="1" xfId="0" applyNumberFormat="1" applyFont="1" applyFill="1" applyBorder="1" applyAlignment="1">
      <alignment horizontal="right" vertical="center" wrapText="1"/>
    </xf>
    <xf numFmtId="0" fontId="16" fillId="0" borderId="0" xfId="0" applyFont="1" applyAlignment="1">
      <alignment wrapText="1"/>
    </xf>
    <xf numFmtId="0" fontId="17" fillId="4" borderId="1" xfId="0" applyFont="1" applyFill="1" applyBorder="1" applyAlignment="1">
      <alignment horizontal="center" vertical="center" wrapText="1"/>
    </xf>
    <xf numFmtId="0" fontId="16" fillId="0" borderId="1" xfId="0" applyFont="1" applyBorder="1" applyAlignment="1">
      <alignment vertical="top" wrapText="1"/>
    </xf>
    <xf numFmtId="0" fontId="18" fillId="7" borderId="0" xfId="0" applyFont="1" applyFill="1"/>
    <xf numFmtId="0" fontId="17" fillId="6" borderId="1" xfId="0" applyFont="1" applyFill="1" applyBorder="1" applyAlignment="1">
      <alignment horizontal="center" vertical="center" wrapText="1"/>
    </xf>
  </cellXfs>
  <cellStyles count="1">
    <cellStyle name="Normal" xfId="0" builtinId="0"/>
  </cellStyles>
  <dxfs count="11">
    <dxf>
      <font>
        <b/>
        <color rgb="FFFFFFFF"/>
      </font>
      <fill>
        <patternFill>
          <bgColor rgb="FF70AD47"/>
        </patternFill>
      </fill>
    </dxf>
    <dxf>
      <font>
        <b/>
        <color rgb="FF000000"/>
      </font>
      <fill>
        <patternFill>
          <bgColor rgb="FFFFC000"/>
        </patternFill>
      </fill>
    </dxf>
    <dxf>
      <font>
        <b/>
        <color rgb="FFFFFFFF"/>
      </font>
      <fill>
        <patternFill>
          <bgColor rgb="FFED7D31"/>
        </patternFill>
      </fill>
    </dxf>
    <dxf>
      <font>
        <b/>
        <color rgb="FFFFFFFF"/>
      </font>
      <fill>
        <patternFill>
          <bgColor rgb="FFC00000"/>
        </patternFill>
      </fill>
    </dxf>
    <dxf>
      <font>
        <b/>
        <color rgb="FF000000"/>
      </font>
      <fill>
        <patternFill>
          <bgColor rgb="FFFFC000"/>
        </patternFill>
      </fill>
    </dxf>
    <dxf>
      <font>
        <b/>
        <color rgb="FFFFFFFF"/>
      </font>
      <fill>
        <patternFill>
          <bgColor rgb="FFC00000"/>
        </patternFill>
      </fill>
    </dxf>
    <dxf>
      <font>
        <b/>
        <color rgb="FFFFFFFF"/>
      </font>
      <fill>
        <patternFill>
          <bgColor rgb="FF70AD47"/>
        </patternFill>
      </fill>
    </dxf>
    <dxf>
      <font>
        <b/>
        <color rgb="FFFFFFFF"/>
      </font>
      <fill>
        <patternFill>
          <bgColor rgb="FF70AD47"/>
        </patternFill>
      </fill>
    </dxf>
    <dxf>
      <font>
        <b/>
        <color rgb="FF000000"/>
      </font>
      <fill>
        <patternFill>
          <bgColor rgb="FFFFC000"/>
        </patternFill>
      </fill>
    </dxf>
    <dxf>
      <font>
        <b/>
        <color rgb="FFFFFFFF"/>
      </font>
      <fill>
        <patternFill>
          <bgColor rgb="FFED7D31"/>
        </patternFill>
      </fill>
    </dxf>
    <dxf>
      <font>
        <b/>
        <color rgb="FFFFFFFF"/>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008080"/>
      <rgbColor rgb="FFC0C0C0"/>
      <rgbColor rgb="FF878787"/>
      <rgbColor rgb="FF9999FF"/>
      <rgbColor rgb="FFC0504D"/>
      <rgbColor rgb="FFF9F9F9"/>
      <rgbColor rgb="FFCCFFFF"/>
      <rgbColor rgb="FF660066"/>
      <rgbColor rgb="FFFF444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4BACC6"/>
      <rgbColor rgb="FF9BBB59"/>
      <rgbColor rgb="FFFFC000"/>
      <rgbColor rgb="FFF79646"/>
      <rgbColor rgb="FFED7D31"/>
      <rgbColor rgb="FF8064A2"/>
      <rgbColor rgb="FFA5A5A5"/>
      <rgbColor rgb="FF1F4E79"/>
      <rgbColor rgb="FF4F81BD"/>
      <rgbColor rgb="FF003300"/>
      <rgbColor rgb="FF333300"/>
      <rgbColor rgb="FF993300"/>
      <rgbColor rgb="FF993366"/>
      <rgbColor rgb="FF2C3E6B"/>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ATT&amp;CK ICS Impact Technique Frequency</a:t>
            </a:r>
          </a:p>
        </c:rich>
      </c:tx>
      <c:overlay val="0"/>
      <c:spPr>
        <a:noFill/>
        <a:ln w="0">
          <a:noFill/>
        </a:ln>
      </c:spPr>
    </c:title>
    <c:autoTitleDeleted val="0"/>
    <c:plotArea>
      <c:layout/>
      <c:barChart>
        <c:barDir val="bar"/>
        <c:grouping val="clustered"/>
        <c:varyColors val="0"/>
        <c:ser>
          <c:idx val="0"/>
          <c:order val="0"/>
          <c:tx>
            <c:strRef>
              <c:f>'Metrics Dashboard'!$F$16</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'Metrics Dashboard'!$E$17:$E$28</c:f>
              <c:strCache>
                <c:ptCount val="12"/>
                <c:pt idx="0">
                  <c:v>T0879 Damage to Property</c:v>
                </c:pt>
                <c:pt idx="1">
                  <c:v>T0813 Denial of Control</c:v>
                </c:pt>
                <c:pt idx="2">
                  <c:v>T0815 Denial of View</c:v>
                </c:pt>
                <c:pt idx="3">
                  <c:v>T0826 Loss of Availability</c:v>
                </c:pt>
                <c:pt idx="4">
                  <c:v>T0827 Loss of Control</c:v>
                </c:pt>
                <c:pt idx="5">
                  <c:v>T0828 Loss of Productivity and Revenue</c:v>
                </c:pt>
                <c:pt idx="6">
                  <c:v>T0837 Loss of Protection</c:v>
                </c:pt>
                <c:pt idx="7">
                  <c:v>T0880 Loss of Safety</c:v>
                </c:pt>
                <c:pt idx="8">
                  <c:v>T0829 Loss of View</c:v>
                </c:pt>
                <c:pt idx="9">
                  <c:v>T0831 Manipulation of Control</c:v>
                </c:pt>
                <c:pt idx="10">
                  <c:v>T0832 Manipulation of View</c:v>
                </c:pt>
                <c:pt idx="11">
                  <c:v>T0882 Theft of Operational Information</c:v>
                </c:pt>
              </c:strCache>
            </c:strRef>
          </c:cat>
          <c:val>
            <c:numRef>
              <c:f>'Metrics Dashboard'!$F$17:$F$28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DF1-4AC2-9D86-A89CBF931E6B}"/>
            </c:ext>
          </c:extLst>
        </c:ser>
        <c:dLbls>
          <c:showLegendKey val="0"/>
          <c:showVal val="0"/>
          <c:showCatName val="0"/>
          <c:showSerName val="0"/>
          <c:showPercent val="0"/>
          <c:showBubbleSize val="0"/>
        </c:dLbls>
        <c:gapWidth val="150"/>
        <c:axId val="65243811"/>
        <c:axId val="75987159"/>
      </c:barChart>
      <c:catAx>
        <c:axId val="6524381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987159"/>
        <c:crosses val="autoZero"/>
        <c:auto val="1"/>
        <c:lblAlgn val="ctr"/>
        <c:lblOffset val="100"/>
        <c:noMultiLvlLbl val="0"/>
      </c:catAx>
      <c:valAx>
        <c:axId val="75987159"/>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24381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FR Coverage by Risk Ranking</a:t>
            </a:r>
          </a:p>
        </c:rich>
      </c:tx>
      <c:overlay val="0"/>
      <c:spPr>
        <a:noFill/>
        <a:ln w="0">
          <a:noFill/>
        </a:ln>
      </c:spPr>
    </c:title>
    <c:autoTitleDeleted val="0"/>
    <c:plotArea>
      <c:layout/>
      <c:barChart>
        <c:barDir val="col"/>
        <c:grouping val="stacked"/>
        <c:varyColors val="0"/>
        <c:ser>
          <c:idx val="0"/>
          <c:order val="0"/>
          <c:tx>
            <c:strRef>
              <c:f>'Metrics Dashboard'!$G$4</c:f>
              <c:strCache>
                <c:ptCount val="1"/>
                <c:pt idx="0">
                  <c:v>Critical</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'Metrics Dashboard'!$E$5:$E$12</c:f>
              <c:strCache>
                <c:ptCount val="8"/>
                <c:pt idx="0">
                  <c:v>FR1 - Identification and Authentication </c:v>
                </c:pt>
                <c:pt idx="1">
                  <c:v>FR2 - Use Control (UC)</c:v>
                </c:pt>
                <c:pt idx="2">
                  <c:v>FR3 - System Integrity (SI)</c:v>
                </c:pt>
                <c:pt idx="3">
                  <c:v>FR4 - Data Confidentiality (DC)</c:v>
                </c:pt>
                <c:pt idx="4">
                  <c:v>FR5 - Restricted Data Flow (RDF)</c:v>
                </c:pt>
                <c:pt idx="5">
                  <c:v>FR6 - Timely Response to Events (TRE)</c:v>
                </c:pt>
                <c:pt idx="6">
                  <c:v>FR7 - Resource Availability (RA)</c:v>
                </c:pt>
                <c:pt idx="7">
                  <c:v>PLC Top 20 Secure Coding Practices</c:v>
                </c:pt>
              </c:strCache>
            </c:strRef>
          </c:cat>
          <c:val>
            <c:numRef>
              <c:f>'Metrics Dashboard'!$G$5:$G$12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BCC-4870-B211-02B4400D87E5}"/>
            </c:ext>
          </c:extLst>
        </c:ser>
        <c:ser>
          <c:idx val="1"/>
          <c:order val="1"/>
          <c:tx>
            <c:strRef>
              <c:f>'Metrics Dashboard'!$H$4</c:f>
              <c:strCache>
                <c:ptCount val="1"/>
                <c:pt idx="0">
                  <c:v>High</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'Metrics Dashboard'!$E$5:$E$12</c:f>
              <c:strCache>
                <c:ptCount val="8"/>
                <c:pt idx="0">
                  <c:v>FR1 - Identification and Authentication </c:v>
                </c:pt>
                <c:pt idx="1">
                  <c:v>FR2 - Use Control (UC)</c:v>
                </c:pt>
                <c:pt idx="2">
                  <c:v>FR3 - System Integrity (SI)</c:v>
                </c:pt>
                <c:pt idx="3">
                  <c:v>FR4 - Data Confidentiality (DC)</c:v>
                </c:pt>
                <c:pt idx="4">
                  <c:v>FR5 - Restricted Data Flow (RDF)</c:v>
                </c:pt>
                <c:pt idx="5">
                  <c:v>FR6 - Timely Response to Events (TRE)</c:v>
                </c:pt>
                <c:pt idx="6">
                  <c:v>FR7 - Resource Availability (RA)</c:v>
                </c:pt>
                <c:pt idx="7">
                  <c:v>PLC Top 20 Secure Coding Practices</c:v>
                </c:pt>
              </c:strCache>
            </c:strRef>
          </c:cat>
          <c:val>
            <c:numRef>
              <c:f>'Metrics Dashboard'!$H$5:$H$12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BCC-4870-B211-02B4400D87E5}"/>
            </c:ext>
          </c:extLst>
        </c:ser>
        <c:ser>
          <c:idx val="2"/>
          <c:order val="2"/>
          <c:tx>
            <c:strRef>
              <c:f>'Metrics Dashboard'!$I$4</c:f>
              <c:strCache>
                <c:ptCount val="1"/>
                <c:pt idx="0">
                  <c:v>Medium</c:v>
                </c:pt>
              </c:strCache>
            </c:strRef>
          </c:tx>
          <c:spPr>
            <a:solidFill>
              <a:srgbClr val="9BBB59"/>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'Metrics Dashboard'!$E$5:$E$12</c:f>
              <c:strCache>
                <c:ptCount val="8"/>
                <c:pt idx="0">
                  <c:v>FR1 - Identification and Authentication </c:v>
                </c:pt>
                <c:pt idx="1">
                  <c:v>FR2 - Use Control (UC)</c:v>
                </c:pt>
                <c:pt idx="2">
                  <c:v>FR3 - System Integrity (SI)</c:v>
                </c:pt>
                <c:pt idx="3">
                  <c:v>FR4 - Data Confidentiality (DC)</c:v>
                </c:pt>
                <c:pt idx="4">
                  <c:v>FR5 - Restricted Data Flow (RDF)</c:v>
                </c:pt>
                <c:pt idx="5">
                  <c:v>FR6 - Timely Response to Events (TRE)</c:v>
                </c:pt>
                <c:pt idx="6">
                  <c:v>FR7 - Resource Availability (RA)</c:v>
                </c:pt>
                <c:pt idx="7">
                  <c:v>PLC Top 20 Secure Coding Practices</c:v>
                </c:pt>
              </c:strCache>
            </c:strRef>
          </c:cat>
          <c:val>
            <c:numRef>
              <c:f>'Metrics Dashboard'!$I$5:$I$12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5BCC-4870-B211-02B4400D87E5}"/>
            </c:ext>
          </c:extLst>
        </c:ser>
        <c:ser>
          <c:idx val="3"/>
          <c:order val="3"/>
          <c:tx>
            <c:strRef>
              <c:f>'Metrics Dashboard'!$J$4</c:f>
              <c:strCache>
                <c:ptCount val="1"/>
                <c:pt idx="0">
                  <c:v>Low</c:v>
                </c:pt>
              </c:strCache>
            </c:strRef>
          </c:tx>
          <c:spPr>
            <a:solidFill>
              <a:srgbClr val="8064A2"/>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'Metrics Dashboard'!$E$5:$E$12</c:f>
              <c:strCache>
                <c:ptCount val="8"/>
                <c:pt idx="0">
                  <c:v>FR1 - Identification and Authentication </c:v>
                </c:pt>
                <c:pt idx="1">
                  <c:v>FR2 - Use Control (UC)</c:v>
                </c:pt>
                <c:pt idx="2">
                  <c:v>FR3 - System Integrity (SI)</c:v>
                </c:pt>
                <c:pt idx="3">
                  <c:v>FR4 - Data Confidentiality (DC)</c:v>
                </c:pt>
                <c:pt idx="4">
                  <c:v>FR5 - Restricted Data Flow (RDF)</c:v>
                </c:pt>
                <c:pt idx="5">
                  <c:v>FR6 - Timely Response to Events (TRE)</c:v>
                </c:pt>
                <c:pt idx="6">
                  <c:v>FR7 - Resource Availability (RA)</c:v>
                </c:pt>
                <c:pt idx="7">
                  <c:v>PLC Top 20 Secure Coding Practices</c:v>
                </c:pt>
              </c:strCache>
            </c:strRef>
          </c:cat>
          <c:val>
            <c:numRef>
              <c:f>'Metrics Dashboard'!$J$5:$J$12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5BCC-4870-B211-02B4400D87E5}"/>
            </c:ext>
          </c:extLst>
        </c:ser>
        <c:ser>
          <c:idx val="4"/>
          <c:order val="4"/>
          <c:tx>
            <c:strRef>
              <c:f>'Metrics Dashboard'!$K$4</c:f>
              <c:strCache>
                <c:ptCount val="1"/>
                <c:pt idx="0">
                  <c:v>Pass</c:v>
                </c:pt>
              </c:strCache>
            </c:strRef>
          </c:tx>
          <c:spPr>
            <a:solidFill>
              <a:srgbClr val="4BACC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'Metrics Dashboard'!$E$5:$E$12</c:f>
              <c:strCache>
                <c:ptCount val="8"/>
                <c:pt idx="0">
                  <c:v>FR1 - Identification and Authentication </c:v>
                </c:pt>
                <c:pt idx="1">
                  <c:v>FR2 - Use Control (UC)</c:v>
                </c:pt>
                <c:pt idx="2">
                  <c:v>FR3 - System Integrity (SI)</c:v>
                </c:pt>
                <c:pt idx="3">
                  <c:v>FR4 - Data Confidentiality (DC)</c:v>
                </c:pt>
                <c:pt idx="4">
                  <c:v>FR5 - Restricted Data Flow (RDF)</c:v>
                </c:pt>
                <c:pt idx="5">
                  <c:v>FR6 - Timely Response to Events (TRE)</c:v>
                </c:pt>
                <c:pt idx="6">
                  <c:v>FR7 - Resource Availability (RA)</c:v>
                </c:pt>
                <c:pt idx="7">
                  <c:v>PLC Top 20 Secure Coding Practices</c:v>
                </c:pt>
              </c:strCache>
            </c:strRef>
          </c:cat>
          <c:val>
            <c:numRef>
              <c:f>'Metrics Dashboard'!$K$5:$K$12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5BCC-4870-B211-02B4400D87E5}"/>
            </c:ext>
          </c:extLst>
        </c:ser>
        <c:dLbls>
          <c:showLegendKey val="0"/>
          <c:showVal val="0"/>
          <c:showCatName val="0"/>
          <c:showSerName val="0"/>
          <c:showPercent val="0"/>
          <c:showBubbleSize val="0"/>
        </c:dLbls>
        <c:gapWidth val="150"/>
        <c:overlap val="100"/>
        <c:axId val="3833000"/>
        <c:axId val="33356090"/>
      </c:barChart>
      <c:catAx>
        <c:axId val="38330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356090"/>
        <c:crosses val="autoZero"/>
        <c:auto val="1"/>
        <c:lblAlgn val="ctr"/>
        <c:lblOffset val="100"/>
        <c:noMultiLvlLbl val="0"/>
      </c:catAx>
      <c:valAx>
        <c:axId val="3335609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30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Risk Ranking Distribution</a:t>
            </a:r>
          </a:p>
        </c:rich>
      </c:tx>
      <c:overlay val="0"/>
      <c:spPr>
        <a:noFill/>
        <a:ln w="0">
          <a:noFill/>
        </a:ln>
      </c:spPr>
    </c:title>
    <c:autoTitleDeleted val="0"/>
    <c:plotArea>
      <c:layout/>
      <c:pieChart>
        <c:varyColors val="1"/>
        <c:ser>
          <c:idx val="0"/>
          <c:order val="0"/>
          <c:spPr>
            <a:solidFill>
              <a:srgbClr val="4F81BD"/>
            </a:solidFill>
            <a:ln w="9360">
              <a:solidFill>
                <a:srgbClr val="F9F9F9"/>
              </a:solidFill>
              <a:round/>
            </a:ln>
          </c:spPr>
          <c:dPt>
            <c:idx val="0"/>
            <c:bubble3D val="0"/>
            <c:extLst>
              <c:ext xmlns:c16="http://schemas.microsoft.com/office/drawing/2014/chart" uri="{C3380CC4-5D6E-409C-BE32-E72D297353CC}">
                <c16:uniqueId val="{00000000-2806-4798-8C54-A10DA507CB33}"/>
              </c:ext>
            </c:extLst>
          </c:dPt>
          <c:dPt>
            <c:idx val="1"/>
            <c:bubble3D val="0"/>
            <c:spPr>
              <a:solidFill>
                <a:srgbClr val="C0504D"/>
              </a:solidFill>
              <a:ln w="9360">
                <a:solidFill>
                  <a:srgbClr val="F9F9F9"/>
                </a:solidFill>
                <a:round/>
              </a:ln>
            </c:spPr>
            <c:extLst>
              <c:ext xmlns:c16="http://schemas.microsoft.com/office/drawing/2014/chart" uri="{C3380CC4-5D6E-409C-BE32-E72D297353CC}">
                <c16:uniqueId val="{00000002-2806-4798-8C54-A10DA507CB33}"/>
              </c:ext>
            </c:extLst>
          </c:dPt>
          <c:dPt>
            <c:idx val="2"/>
            <c:bubble3D val="0"/>
            <c:spPr>
              <a:solidFill>
                <a:srgbClr val="9BBB59"/>
              </a:solidFill>
              <a:ln w="9360">
                <a:solidFill>
                  <a:srgbClr val="F9F9F9"/>
                </a:solidFill>
                <a:round/>
              </a:ln>
            </c:spPr>
            <c:extLst>
              <c:ext xmlns:c16="http://schemas.microsoft.com/office/drawing/2014/chart" uri="{C3380CC4-5D6E-409C-BE32-E72D297353CC}">
                <c16:uniqueId val="{00000004-2806-4798-8C54-A10DA507CB33}"/>
              </c:ext>
            </c:extLst>
          </c:dPt>
          <c:dPt>
            <c:idx val="3"/>
            <c:bubble3D val="0"/>
            <c:spPr>
              <a:solidFill>
                <a:srgbClr val="8064A2"/>
              </a:solidFill>
              <a:ln w="9360">
                <a:solidFill>
                  <a:srgbClr val="F9F9F9"/>
                </a:solidFill>
                <a:round/>
              </a:ln>
            </c:spPr>
            <c:extLst>
              <c:ext xmlns:c16="http://schemas.microsoft.com/office/drawing/2014/chart" uri="{C3380CC4-5D6E-409C-BE32-E72D297353CC}">
                <c16:uniqueId val="{00000006-2806-4798-8C54-A10DA507CB33}"/>
              </c:ext>
            </c:extLst>
          </c:dPt>
          <c:dPt>
            <c:idx val="4"/>
            <c:bubble3D val="0"/>
            <c:spPr>
              <a:solidFill>
                <a:srgbClr val="4BACC6"/>
              </a:solidFill>
              <a:ln w="9360">
                <a:solidFill>
                  <a:srgbClr val="F9F9F9"/>
                </a:solidFill>
                <a:round/>
              </a:ln>
            </c:spPr>
            <c:extLst>
              <c:ext xmlns:c16="http://schemas.microsoft.com/office/drawing/2014/chart" uri="{C3380CC4-5D6E-409C-BE32-E72D297353CC}">
                <c16:uniqueId val="{00000008-2806-4798-8C54-A10DA507CB33}"/>
              </c:ext>
            </c:extLst>
          </c:dPt>
          <c:dPt>
            <c:idx val="5"/>
            <c:bubble3D val="0"/>
            <c:spPr>
              <a:solidFill>
                <a:srgbClr val="F79646"/>
              </a:solidFill>
              <a:ln w="9360">
                <a:solidFill>
                  <a:srgbClr val="F9F9F9"/>
                </a:solidFill>
                <a:round/>
              </a:ln>
            </c:spPr>
            <c:extLst>
              <c:ext xmlns:c16="http://schemas.microsoft.com/office/drawing/2014/chart" uri="{C3380CC4-5D6E-409C-BE32-E72D297353CC}">
                <c16:uniqueId val="{0000000A-2806-4798-8C54-A10DA507CB33}"/>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2806-4798-8C54-A10DA507CB33}"/>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2806-4798-8C54-A10DA507CB33}"/>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2806-4798-8C54-A10DA507CB33}"/>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2806-4798-8C54-A10DA507CB33}"/>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2806-4798-8C54-A10DA507CB33}"/>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2806-4798-8C54-A10DA507CB33}"/>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'Metrics Dashboard'!$A$13:$A$18</c:f>
              <c:strCache>
                <c:ptCount val="6"/>
                <c:pt idx="0">
                  <c:v>Critical</c:v>
                </c:pt>
                <c:pt idx="1">
                  <c:v>High</c:v>
                </c:pt>
                <c:pt idx="2">
                  <c:v>Medium</c:v>
                </c:pt>
                <c:pt idx="3">
                  <c:v>Low</c:v>
                </c:pt>
                <c:pt idx="4">
                  <c:v>Not Applicable</c:v>
                </c:pt>
                <c:pt idx="5">
                  <c:v>None</c:v>
                </c:pt>
              </c:strCache>
            </c:strRef>
          </c:cat>
          <c:val>
            <c:numRef>
              <c:f>'Metrics Dashboard'!$B$13:$B$18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B-2806-4798-8C54-A10DA507CB3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Test Status Distribution</a:t>
            </a:r>
          </a:p>
        </c:rich>
      </c:tx>
      <c:layout>
        <c:manualLayout>
          <c:xMode val="edge"/>
          <c:yMode val="edge"/>
          <c:x val="0.29759699611160956"/>
          <c:y val="9.1933055362520277E-3"/>
        </c:manualLayout>
      </c:layout>
      <c:overlay val="0"/>
      <c:spPr>
        <a:noFill/>
        <a:ln w="0">
          <a:noFill/>
        </a:ln>
      </c:spPr>
    </c:title>
    <c:autoTitleDeleted val="0"/>
    <c:plotArea>
      <c:layout/>
      <c:pieChart>
        <c:varyColors val="1"/>
        <c:ser>
          <c:idx val="0"/>
          <c:order val="0"/>
          <c:spPr>
            <a:solidFill>
              <a:srgbClr val="4F81BD"/>
            </a:solidFill>
            <a:ln w="9360">
              <a:solidFill>
                <a:srgbClr val="F9F9F9"/>
              </a:solidFill>
              <a:round/>
            </a:ln>
          </c:spPr>
          <c:dPt>
            <c:idx val="0"/>
            <c:bubble3D val="0"/>
            <c:extLst>
              <c:ext xmlns:c16="http://schemas.microsoft.com/office/drawing/2014/chart" uri="{C3380CC4-5D6E-409C-BE32-E72D297353CC}">
                <c16:uniqueId val="{00000000-DFD3-4098-BDDF-2E800C8F8FDC}"/>
              </c:ext>
            </c:extLst>
          </c:dPt>
          <c:dPt>
            <c:idx val="1"/>
            <c:bubble3D val="0"/>
            <c:spPr>
              <a:solidFill>
                <a:srgbClr val="C0504D"/>
              </a:solidFill>
              <a:ln w="9360">
                <a:solidFill>
                  <a:srgbClr val="F9F9F9"/>
                </a:solidFill>
                <a:round/>
              </a:ln>
            </c:spPr>
            <c:extLst>
              <c:ext xmlns:c16="http://schemas.microsoft.com/office/drawing/2014/chart" uri="{C3380CC4-5D6E-409C-BE32-E72D297353CC}">
                <c16:uniqueId val="{00000002-DFD3-4098-BDDF-2E800C8F8FDC}"/>
              </c:ext>
            </c:extLst>
          </c:dPt>
          <c:dPt>
            <c:idx val="2"/>
            <c:bubble3D val="0"/>
            <c:spPr>
              <a:solidFill>
                <a:srgbClr val="9BBB59"/>
              </a:solidFill>
              <a:ln w="9360">
                <a:solidFill>
                  <a:srgbClr val="F9F9F9"/>
                </a:solidFill>
                <a:round/>
              </a:ln>
            </c:spPr>
            <c:extLst>
              <c:ext xmlns:c16="http://schemas.microsoft.com/office/drawing/2014/chart" uri="{C3380CC4-5D6E-409C-BE32-E72D297353CC}">
                <c16:uniqueId val="{00000004-DFD3-4098-BDDF-2E800C8F8FDC}"/>
              </c:ext>
            </c:extLst>
          </c:dPt>
          <c:dPt>
            <c:idx val="3"/>
            <c:bubble3D val="0"/>
            <c:spPr>
              <a:solidFill>
                <a:srgbClr val="8064A2"/>
              </a:solidFill>
              <a:ln w="9360">
                <a:solidFill>
                  <a:srgbClr val="F9F9F9"/>
                </a:solidFill>
                <a:round/>
              </a:ln>
            </c:spPr>
            <c:extLst>
              <c:ext xmlns:c16="http://schemas.microsoft.com/office/drawing/2014/chart" uri="{C3380CC4-5D6E-409C-BE32-E72D297353CC}">
                <c16:uniqueId val="{00000006-DFD3-4098-BDDF-2E800C8F8FDC}"/>
              </c:ext>
            </c:extLst>
          </c:dPt>
          <c:dPt>
            <c:idx val="4"/>
            <c:bubble3D val="0"/>
            <c:spPr>
              <a:solidFill>
                <a:srgbClr val="4BACC6"/>
              </a:solidFill>
              <a:ln w="9360">
                <a:solidFill>
                  <a:srgbClr val="F9F9F9"/>
                </a:solidFill>
                <a:round/>
              </a:ln>
            </c:spPr>
            <c:extLst>
              <c:ext xmlns:c16="http://schemas.microsoft.com/office/drawing/2014/chart" uri="{C3380CC4-5D6E-409C-BE32-E72D297353CC}">
                <c16:uniqueId val="{00000008-DFD3-4098-BDDF-2E800C8F8FDC}"/>
              </c:ext>
            </c:extLst>
          </c:dPt>
          <c:dPt>
            <c:idx val="5"/>
            <c:bubble3D val="0"/>
            <c:spPr>
              <a:solidFill>
                <a:srgbClr val="F79646"/>
              </a:solidFill>
              <a:ln w="9360">
                <a:solidFill>
                  <a:srgbClr val="F9F9F9"/>
                </a:solidFill>
                <a:round/>
              </a:ln>
            </c:spPr>
            <c:extLst>
              <c:ext xmlns:c16="http://schemas.microsoft.com/office/drawing/2014/chart" uri="{C3380CC4-5D6E-409C-BE32-E72D297353CC}">
                <c16:uniqueId val="{0000000A-DFD3-4098-BDDF-2E800C8F8FDC}"/>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DFD3-4098-BDDF-2E800C8F8FDC}"/>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DFD3-4098-BDDF-2E800C8F8FDC}"/>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FD3-4098-BDDF-2E800C8F8FDC}"/>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DFD3-4098-BDDF-2E800C8F8FDC}"/>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DFD3-4098-BDDF-2E800C8F8FDC}"/>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DFD3-4098-BDDF-2E800C8F8FDC}"/>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'Metrics Dashboard'!$A$5:$A$10</c:f>
              <c:strCache>
                <c:ptCount val="6"/>
                <c:pt idx="0">
                  <c:v>Pass</c:v>
                </c:pt>
                <c:pt idx="1">
                  <c:v>Fail</c:v>
                </c:pt>
                <c:pt idx="2">
                  <c:v>Partial</c:v>
                </c:pt>
                <c:pt idx="3">
                  <c:v>Not Tested</c:v>
                </c:pt>
                <c:pt idx="4">
                  <c:v>Not Applicable</c:v>
                </c:pt>
                <c:pt idx="5">
                  <c:v>Deferred</c:v>
                </c:pt>
              </c:strCache>
            </c:strRef>
          </c:cat>
          <c:val>
            <c:numRef>
              <c:f>'Metrics Dashboard'!$B$5:$B$10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B-DFD3-4098-BDDF-2E800C8F8FD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68</xdr:row>
      <xdr:rowOff>152400</xdr:rowOff>
    </xdr:from>
    <xdr:to>
      <xdr:col>7</xdr:col>
      <xdr:colOff>304920</xdr:colOff>
      <xdr:row>99</xdr:row>
      <xdr:rowOff>14160</xdr:rowOff>
    </xdr:to>
    <xdr:graphicFrame macro="">
      <xdr:nvGraphicFramePr>
        <xdr:cNvPr id="6" name="Chart 5">
          <a:extLst>
            <a:ext uri="{FF2B5EF4-FFF2-40B4-BE49-F238E27FC236}">
              <a16:creationId xmlns:a16="http://schemas.microsoft.com/office/drawing/2014/main" id="{A86B1DE2-19CB-4F57-AD45-A36FC3AE1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403860</xdr:colOff>
      <xdr:row>68</xdr:row>
      <xdr:rowOff>68580</xdr:rowOff>
    </xdr:from>
    <xdr:to>
      <xdr:col>23</xdr:col>
      <xdr:colOff>341220</xdr:colOff>
      <xdr:row>94</xdr:row>
      <xdr:rowOff>147420</xdr:rowOff>
    </xdr:to>
    <xdr:graphicFrame macro="">
      <xdr:nvGraphicFramePr>
        <xdr:cNvPr id="7" name="Chart 6">
          <a:extLst>
            <a:ext uri="{FF2B5EF4-FFF2-40B4-BE49-F238E27FC236}">
              <a16:creationId xmlns:a16="http://schemas.microsoft.com/office/drawing/2014/main" id="{70786566-8455-42F5-8566-33800E53E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30480</xdr:colOff>
      <xdr:row>44</xdr:row>
      <xdr:rowOff>99060</xdr:rowOff>
    </xdr:from>
    <xdr:to>
      <xdr:col>13</xdr:col>
      <xdr:colOff>206520</xdr:colOff>
      <xdr:row>67</xdr:row>
      <xdr:rowOff>37140</xdr:rowOff>
    </xdr:to>
    <xdr:graphicFrame macro="">
      <xdr:nvGraphicFramePr>
        <xdr:cNvPr id="8" name="Chart 7">
          <a:extLst>
            <a:ext uri="{FF2B5EF4-FFF2-40B4-BE49-F238E27FC236}">
              <a16:creationId xmlns:a16="http://schemas.microsoft.com/office/drawing/2014/main" id="{D7BA936E-564C-4AE3-A49E-33F0048E8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44</xdr:row>
      <xdr:rowOff>129540</xdr:rowOff>
    </xdr:from>
    <xdr:to>
      <xdr:col>4</xdr:col>
      <xdr:colOff>496080</xdr:colOff>
      <xdr:row>67</xdr:row>
      <xdr:rowOff>67620</xdr:rowOff>
    </xdr:to>
    <xdr:graphicFrame macro="">
      <xdr:nvGraphicFramePr>
        <xdr:cNvPr id="9" name="Chart 8">
          <a:extLst>
            <a:ext uri="{FF2B5EF4-FFF2-40B4-BE49-F238E27FC236}">
              <a16:creationId xmlns:a16="http://schemas.microsoft.com/office/drawing/2014/main" id="{4182F8D4-79E6-4431-BA50-9BB7F26E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C20"/>
  <sheetViews>
    <sheetView topLeftCell="A2" zoomScaleNormal="100" workbookViewId="0">
      <selection activeCell="D21" sqref="D21"/>
    </sheetView>
  </sheetViews>
  <sheetFormatPr defaultColWidth="8.6640625" defaultRowHeight="14.4" x14ac:dyDescent="0.3"/>
  <cols>
    <col min="1" max="1" width="25" customWidth="1"/>
    <col min="2" max="2" width="90" customWidth="1"/>
    <col min="3" max="3" width="20" customWidth="1"/>
  </cols>
  <sheetData>
    <row r="1" spans="1:3" ht="21" x14ac:dyDescent="0.4">
      <c r="A1" s="12" t="s">
        <v>0</v>
      </c>
      <c r="B1" s="12"/>
      <c r="C1" s="12"/>
    </row>
    <row r="2" spans="1:3" x14ac:dyDescent="0.3">
      <c r="A2" s="13" t="s">
        <v>1</v>
      </c>
    </row>
    <row r="4" spans="1:3" ht="15.6" x14ac:dyDescent="0.3">
      <c r="A4" s="11" t="s">
        <v>2</v>
      </c>
      <c r="B4" s="11"/>
      <c r="C4" s="11"/>
    </row>
    <row r="5" spans="1:3" ht="27" x14ac:dyDescent="0.3">
      <c r="A5" s="14" t="s">
        <v>3</v>
      </c>
      <c r="B5" s="15" t="s">
        <v>4</v>
      </c>
    </row>
    <row r="6" spans="1:3" ht="27" x14ac:dyDescent="0.3">
      <c r="A6" s="14" t="s">
        <v>5</v>
      </c>
      <c r="B6" s="15" t="s">
        <v>6</v>
      </c>
    </row>
    <row r="7" spans="1:3" ht="27" x14ac:dyDescent="0.3">
      <c r="A7" s="14" t="s">
        <v>7</v>
      </c>
      <c r="B7" s="15" t="s">
        <v>8</v>
      </c>
    </row>
    <row r="8" spans="1:3" ht="27" x14ac:dyDescent="0.3">
      <c r="A8" s="14" t="s">
        <v>9</v>
      </c>
      <c r="B8" s="15" t="s">
        <v>10</v>
      </c>
    </row>
    <row r="9" spans="1:3" x14ac:dyDescent="0.3">
      <c r="A9" s="14" t="s">
        <v>11</v>
      </c>
      <c r="B9" s="15" t="s">
        <v>12</v>
      </c>
    </row>
    <row r="10" spans="1:3" x14ac:dyDescent="0.3">
      <c r="A10" s="14" t="s">
        <v>13</v>
      </c>
      <c r="B10" s="15" t="s">
        <v>14</v>
      </c>
    </row>
    <row r="11" spans="1:3" x14ac:dyDescent="0.3">
      <c r="A11" s="14" t="s">
        <v>15</v>
      </c>
      <c r="B11" s="15" t="s">
        <v>16</v>
      </c>
    </row>
    <row r="12" spans="1:3" ht="27" x14ac:dyDescent="0.3">
      <c r="A12" s="14" t="s">
        <v>17</v>
      </c>
      <c r="B12" s="15" t="s">
        <v>18</v>
      </c>
    </row>
    <row r="13" spans="1:3" x14ac:dyDescent="0.3">
      <c r="A13" s="14" t="s">
        <v>19</v>
      </c>
      <c r="B13" s="15" t="s">
        <v>20</v>
      </c>
    </row>
    <row r="15" spans="1:3" ht="15.6" x14ac:dyDescent="0.3">
      <c r="A15" s="11" t="s">
        <v>21</v>
      </c>
      <c r="B15" s="11"/>
      <c r="C15" s="11"/>
    </row>
    <row r="16" spans="1:3" x14ac:dyDescent="0.3">
      <c r="A16" s="14" t="s">
        <v>22</v>
      </c>
      <c r="B16" s="15" t="s">
        <v>23</v>
      </c>
    </row>
    <row r="17" spans="1:2" x14ac:dyDescent="0.3">
      <c r="A17" s="14" t="s">
        <v>24</v>
      </c>
      <c r="B17" s="15" t="s">
        <v>25</v>
      </c>
    </row>
    <row r="18" spans="1:2" x14ac:dyDescent="0.3">
      <c r="A18" s="14" t="s">
        <v>26</v>
      </c>
      <c r="B18" s="15" t="s">
        <v>27</v>
      </c>
    </row>
    <row r="19" spans="1:2" x14ac:dyDescent="0.3">
      <c r="A19" s="14" t="s">
        <v>28</v>
      </c>
      <c r="B19" s="15" t="s">
        <v>29</v>
      </c>
    </row>
    <row r="20" spans="1:2" x14ac:dyDescent="0.3">
      <c r="A20" s="14" t="s">
        <v>30</v>
      </c>
      <c r="B20" s="15" t="s">
        <v>31</v>
      </c>
    </row>
  </sheetData>
  <mergeCells count="3">
    <mergeCell ref="A1:C1"/>
    <mergeCell ref="A4:C4"/>
    <mergeCell ref="A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N102"/>
  <sheetViews>
    <sheetView tabSelected="1" zoomScaleNormal="100" workbookViewId="0">
      <pane ySplit="1" topLeftCell="A2" activePane="bottomLeft" state="frozen"/>
      <selection pane="bottomLeft" activeCell="A2" sqref="A2"/>
    </sheetView>
  </sheetViews>
  <sheetFormatPr defaultColWidth="8.6640625" defaultRowHeight="14.4" x14ac:dyDescent="0.3"/>
  <cols>
    <col min="1" max="2" width="10" customWidth="1"/>
    <col min="3" max="3" width="8" customWidth="1"/>
    <col min="4" max="4" width="48" customWidth="1"/>
    <col min="5" max="5" width="45" customWidth="1"/>
    <col min="6" max="6" width="25" customWidth="1"/>
    <col min="7" max="7" width="60" customWidth="1"/>
    <col min="8" max="9" width="50" customWidth="1"/>
    <col min="10" max="10" width="8" customWidth="1"/>
    <col min="11" max="11" width="10" customWidth="1"/>
    <col min="12" max="12" width="12" customWidth="1"/>
    <col min="13" max="13" width="15" customWidth="1"/>
    <col min="14" max="14" width="35" customWidth="1"/>
  </cols>
  <sheetData>
    <row r="1" spans="1:14" x14ac:dyDescent="0.3">
      <c r="A1" s="16" t="s">
        <v>32</v>
      </c>
      <c r="B1" s="16" t="s">
        <v>33</v>
      </c>
      <c r="C1" s="16" t="s">
        <v>34</v>
      </c>
      <c r="D1" s="16" t="s">
        <v>35</v>
      </c>
      <c r="E1" s="16" t="s">
        <v>36</v>
      </c>
      <c r="F1" s="16" t="s">
        <v>37</v>
      </c>
      <c r="G1" s="16" t="s">
        <v>38</v>
      </c>
      <c r="H1" s="16" t="s">
        <v>39</v>
      </c>
      <c r="I1" s="16" t="s">
        <v>40</v>
      </c>
      <c r="J1" s="16" t="s">
        <v>41</v>
      </c>
      <c r="K1" s="16" t="s">
        <v>42</v>
      </c>
      <c r="L1" s="16" t="s">
        <v>43</v>
      </c>
      <c r="M1" s="16" t="s">
        <v>44</v>
      </c>
      <c r="N1" s="16" t="s">
        <v>45</v>
      </c>
    </row>
    <row r="2" spans="1:14" x14ac:dyDescent="0.3">
      <c r="A2" s="17" t="s">
        <v>46</v>
      </c>
      <c r="B2" s="17" t="s">
        <v>47</v>
      </c>
      <c r="C2" s="17" t="s">
        <v>48</v>
      </c>
      <c r="D2" s="17" t="s">
        <v>49</v>
      </c>
      <c r="E2" s="17" t="s">
        <v>50</v>
      </c>
      <c r="F2" s="17" t="s">
        <v>51</v>
      </c>
      <c r="G2" s="17" t="s">
        <v>52</v>
      </c>
      <c r="H2" s="17" t="s">
        <v>53</v>
      </c>
      <c r="I2" s="17"/>
      <c r="J2" s="17" t="s">
        <v>54</v>
      </c>
      <c r="K2" s="17" t="s">
        <v>55</v>
      </c>
      <c r="L2" s="17" t="s">
        <v>56</v>
      </c>
      <c r="M2" s="17" t="s">
        <v>57</v>
      </c>
      <c r="N2" s="17" t="s">
        <v>58</v>
      </c>
    </row>
    <row r="3" spans="1:14" ht="22.8" x14ac:dyDescent="0.3">
      <c r="A3" s="17" t="s">
        <v>59</v>
      </c>
      <c r="B3" s="17" t="s">
        <v>47</v>
      </c>
      <c r="C3" s="17" t="s">
        <v>60</v>
      </c>
      <c r="D3" s="17" t="s">
        <v>49</v>
      </c>
      <c r="E3" s="17" t="s">
        <v>61</v>
      </c>
      <c r="F3" s="17" t="s">
        <v>51</v>
      </c>
      <c r="G3" s="17" t="s">
        <v>62</v>
      </c>
      <c r="H3" s="17" t="s">
        <v>63</v>
      </c>
      <c r="I3" s="17"/>
      <c r="J3" s="17" t="s">
        <v>64</v>
      </c>
      <c r="K3" s="17" t="s">
        <v>54</v>
      </c>
      <c r="L3" s="17" t="s">
        <v>55</v>
      </c>
      <c r="M3" s="17" t="s">
        <v>55</v>
      </c>
      <c r="N3" s="17" t="s">
        <v>65</v>
      </c>
    </row>
    <row r="4" spans="1:14" x14ac:dyDescent="0.3">
      <c r="A4" s="17" t="s">
        <v>66</v>
      </c>
      <c r="B4" s="17" t="s">
        <v>47</v>
      </c>
      <c r="C4" s="17" t="s">
        <v>67</v>
      </c>
      <c r="D4" s="17" t="s">
        <v>49</v>
      </c>
      <c r="E4" s="17" t="s">
        <v>68</v>
      </c>
      <c r="F4" s="17" t="s">
        <v>51</v>
      </c>
      <c r="G4" s="17" t="s">
        <v>69</v>
      </c>
      <c r="H4" s="17" t="s">
        <v>70</v>
      </c>
      <c r="I4" s="17"/>
      <c r="J4" s="17" t="s">
        <v>54</v>
      </c>
      <c r="K4" s="17" t="s">
        <v>54</v>
      </c>
      <c r="L4" s="17" t="s">
        <v>55</v>
      </c>
      <c r="M4" s="17" t="s">
        <v>55</v>
      </c>
      <c r="N4" s="17" t="s">
        <v>71</v>
      </c>
    </row>
    <row r="5" spans="1:14" x14ac:dyDescent="0.3">
      <c r="A5" s="17" t="s">
        <v>72</v>
      </c>
      <c r="B5" s="17" t="s">
        <v>47</v>
      </c>
      <c r="C5" s="17" t="s">
        <v>73</v>
      </c>
      <c r="D5" s="17" t="s">
        <v>49</v>
      </c>
      <c r="E5" s="17" t="s">
        <v>74</v>
      </c>
      <c r="F5" s="17" t="s">
        <v>51</v>
      </c>
      <c r="G5" s="17" t="s">
        <v>75</v>
      </c>
      <c r="H5" s="17" t="s">
        <v>76</v>
      </c>
      <c r="I5" s="17"/>
      <c r="J5" s="17" t="s">
        <v>54</v>
      </c>
      <c r="K5" s="17" t="s">
        <v>54</v>
      </c>
      <c r="L5" s="17" t="s">
        <v>54</v>
      </c>
      <c r="M5" s="17" t="s">
        <v>54</v>
      </c>
      <c r="N5" s="17" t="s">
        <v>77</v>
      </c>
    </row>
    <row r="6" spans="1:14" x14ac:dyDescent="0.3">
      <c r="A6" s="17" t="s">
        <v>78</v>
      </c>
      <c r="B6" s="17" t="s">
        <v>47</v>
      </c>
      <c r="C6" s="17" t="s">
        <v>79</v>
      </c>
      <c r="D6" s="17" t="s">
        <v>49</v>
      </c>
      <c r="E6" s="17" t="s">
        <v>80</v>
      </c>
      <c r="F6" s="17" t="s">
        <v>51</v>
      </c>
      <c r="G6" s="17" t="s">
        <v>81</v>
      </c>
      <c r="H6" s="17" t="s">
        <v>82</v>
      </c>
      <c r="I6" s="17"/>
      <c r="J6" s="17" t="s">
        <v>54</v>
      </c>
      <c r="K6" s="17" t="s">
        <v>54</v>
      </c>
      <c r="L6" s="17" t="s">
        <v>55</v>
      </c>
      <c r="M6" s="17" t="s">
        <v>55</v>
      </c>
      <c r="N6" s="17" t="s">
        <v>77</v>
      </c>
    </row>
    <row r="7" spans="1:14" x14ac:dyDescent="0.3">
      <c r="A7" s="17" t="s">
        <v>83</v>
      </c>
      <c r="B7" s="17" t="s">
        <v>47</v>
      </c>
      <c r="C7" s="17" t="s">
        <v>84</v>
      </c>
      <c r="D7" s="17" t="s">
        <v>49</v>
      </c>
      <c r="E7" s="17" t="s">
        <v>85</v>
      </c>
      <c r="F7" s="17" t="s">
        <v>51</v>
      </c>
      <c r="G7" s="17" t="s">
        <v>86</v>
      </c>
      <c r="H7" s="17" t="s">
        <v>87</v>
      </c>
      <c r="I7" s="17"/>
      <c r="J7" s="17" t="s">
        <v>54</v>
      </c>
      <c r="K7" s="17" t="s">
        <v>55</v>
      </c>
      <c r="L7" s="17" t="s">
        <v>55</v>
      </c>
      <c r="M7" s="17" t="s">
        <v>55</v>
      </c>
      <c r="N7" s="17" t="s">
        <v>88</v>
      </c>
    </row>
    <row r="8" spans="1:14" ht="22.8" x14ac:dyDescent="0.3">
      <c r="A8" s="17" t="s">
        <v>89</v>
      </c>
      <c r="B8" s="17" t="s">
        <v>47</v>
      </c>
      <c r="C8" s="17" t="s">
        <v>90</v>
      </c>
      <c r="D8" s="17" t="s">
        <v>49</v>
      </c>
      <c r="E8" s="17" t="s">
        <v>91</v>
      </c>
      <c r="F8" s="17" t="s">
        <v>51</v>
      </c>
      <c r="G8" s="17" t="s">
        <v>92</v>
      </c>
      <c r="H8" s="17" t="s">
        <v>93</v>
      </c>
      <c r="I8" s="17"/>
      <c r="J8" s="17" t="s">
        <v>54</v>
      </c>
      <c r="K8" s="17" t="s">
        <v>54</v>
      </c>
      <c r="L8" s="17" t="s">
        <v>55</v>
      </c>
      <c r="M8" s="17" t="s">
        <v>56</v>
      </c>
      <c r="N8" s="17" t="s">
        <v>71</v>
      </c>
    </row>
    <row r="9" spans="1:14" x14ac:dyDescent="0.3">
      <c r="A9" s="17" t="s">
        <v>94</v>
      </c>
      <c r="B9" s="17" t="s">
        <v>47</v>
      </c>
      <c r="C9" s="17" t="s">
        <v>95</v>
      </c>
      <c r="D9" s="17" t="s">
        <v>49</v>
      </c>
      <c r="E9" s="17" t="s">
        <v>96</v>
      </c>
      <c r="F9" s="17" t="s">
        <v>51</v>
      </c>
      <c r="G9" s="17" t="s">
        <v>97</v>
      </c>
      <c r="H9" s="17" t="s">
        <v>76</v>
      </c>
      <c r="I9" s="17"/>
      <c r="J9" s="17" t="s">
        <v>64</v>
      </c>
      <c r="K9" s="17" t="s">
        <v>54</v>
      </c>
      <c r="L9" s="17" t="s">
        <v>54</v>
      </c>
      <c r="M9" s="17" t="s">
        <v>54</v>
      </c>
      <c r="N9" s="17" t="s">
        <v>98</v>
      </c>
    </row>
    <row r="10" spans="1:14" x14ac:dyDescent="0.3">
      <c r="A10" s="17" t="s">
        <v>99</v>
      </c>
      <c r="B10" s="17" t="s">
        <v>47</v>
      </c>
      <c r="C10" s="17" t="s">
        <v>100</v>
      </c>
      <c r="D10" s="17" t="s">
        <v>49</v>
      </c>
      <c r="E10" s="17" t="s">
        <v>101</v>
      </c>
      <c r="F10" s="17" t="s">
        <v>51</v>
      </c>
      <c r="G10" s="17" t="s">
        <v>102</v>
      </c>
      <c r="H10" s="17" t="s">
        <v>103</v>
      </c>
      <c r="I10" s="17"/>
      <c r="J10" s="17" t="s">
        <v>64</v>
      </c>
      <c r="K10" s="17" t="s">
        <v>54</v>
      </c>
      <c r="L10" s="17" t="s">
        <v>55</v>
      </c>
      <c r="M10" s="17" t="s">
        <v>55</v>
      </c>
      <c r="N10" s="17" t="s">
        <v>98</v>
      </c>
    </row>
    <row r="11" spans="1:14" x14ac:dyDescent="0.3">
      <c r="A11" s="17" t="s">
        <v>104</v>
      </c>
      <c r="B11" s="17" t="s">
        <v>47</v>
      </c>
      <c r="C11" s="17" t="s">
        <v>105</v>
      </c>
      <c r="D11" s="17" t="s">
        <v>49</v>
      </c>
      <c r="E11" s="17" t="s">
        <v>106</v>
      </c>
      <c r="F11" s="17" t="s">
        <v>51</v>
      </c>
      <c r="G11" s="17" t="s">
        <v>107</v>
      </c>
      <c r="H11" s="17" t="s">
        <v>76</v>
      </c>
      <c r="I11" s="17"/>
      <c r="J11" s="17" t="s">
        <v>54</v>
      </c>
      <c r="K11" s="17" t="s">
        <v>54</v>
      </c>
      <c r="L11" s="17" t="s">
        <v>54</v>
      </c>
      <c r="M11" s="17" t="s">
        <v>54</v>
      </c>
      <c r="N11" s="17" t="s">
        <v>77</v>
      </c>
    </row>
    <row r="12" spans="1:14" x14ac:dyDescent="0.3">
      <c r="A12" s="17" t="s">
        <v>108</v>
      </c>
      <c r="B12" s="17" t="s">
        <v>47</v>
      </c>
      <c r="C12" s="17" t="s">
        <v>109</v>
      </c>
      <c r="D12" s="17" t="s">
        <v>49</v>
      </c>
      <c r="E12" s="17" t="s">
        <v>110</v>
      </c>
      <c r="F12" s="17" t="s">
        <v>51</v>
      </c>
      <c r="G12" s="17" t="s">
        <v>111</v>
      </c>
      <c r="H12" s="17" t="s">
        <v>76</v>
      </c>
      <c r="I12" s="17"/>
      <c r="J12" s="17" t="s">
        <v>54</v>
      </c>
      <c r="K12" s="17" t="s">
        <v>54</v>
      </c>
      <c r="L12" s="17" t="s">
        <v>54</v>
      </c>
      <c r="M12" s="17" t="s">
        <v>54</v>
      </c>
      <c r="N12" s="17" t="s">
        <v>71</v>
      </c>
    </row>
    <row r="13" spans="1:14" x14ac:dyDescent="0.3">
      <c r="A13" s="17" t="s">
        <v>112</v>
      </c>
      <c r="B13" s="17" t="s">
        <v>47</v>
      </c>
      <c r="C13" s="17" t="s">
        <v>113</v>
      </c>
      <c r="D13" s="17" t="s">
        <v>49</v>
      </c>
      <c r="E13" s="17" t="s">
        <v>114</v>
      </c>
      <c r="F13" s="17" t="s">
        <v>51</v>
      </c>
      <c r="G13" s="17" t="s">
        <v>115</v>
      </c>
      <c r="H13" s="17" t="s">
        <v>76</v>
      </c>
      <c r="I13" s="17"/>
      <c r="J13" s="17" t="s">
        <v>54</v>
      </c>
      <c r="K13" s="17" t="s">
        <v>54</v>
      </c>
      <c r="L13" s="17" t="s">
        <v>54</v>
      </c>
      <c r="M13" s="17" t="s">
        <v>54</v>
      </c>
      <c r="N13" s="17" t="s">
        <v>71</v>
      </c>
    </row>
    <row r="14" spans="1:14" x14ac:dyDescent="0.3">
      <c r="A14" s="17" t="s">
        <v>116</v>
      </c>
      <c r="B14" s="17" t="s">
        <v>47</v>
      </c>
      <c r="C14" s="17" t="s">
        <v>117</v>
      </c>
      <c r="D14" s="17" t="s">
        <v>49</v>
      </c>
      <c r="E14" s="17" t="s">
        <v>118</v>
      </c>
      <c r="F14" s="17" t="s">
        <v>51</v>
      </c>
      <c r="G14" s="17" t="s">
        <v>119</v>
      </c>
      <c r="H14" s="17" t="s">
        <v>120</v>
      </c>
      <c r="I14" s="17"/>
      <c r="J14" s="17" t="s">
        <v>54</v>
      </c>
      <c r="K14" s="17" t="s">
        <v>55</v>
      </c>
      <c r="L14" s="17" t="s">
        <v>55</v>
      </c>
      <c r="M14" s="17" t="s">
        <v>55</v>
      </c>
      <c r="N14" s="17" t="s">
        <v>121</v>
      </c>
    </row>
    <row r="15" spans="1:14" ht="22.8" x14ac:dyDescent="0.3">
      <c r="A15" s="17" t="s">
        <v>122</v>
      </c>
      <c r="B15" s="17" t="s">
        <v>47</v>
      </c>
      <c r="C15" s="17" t="s">
        <v>123</v>
      </c>
      <c r="D15" s="17" t="s">
        <v>124</v>
      </c>
      <c r="E15" s="17" t="s">
        <v>125</v>
      </c>
      <c r="F15" s="17" t="s">
        <v>51</v>
      </c>
      <c r="G15" s="17" t="s">
        <v>126</v>
      </c>
      <c r="H15" s="17" t="s">
        <v>127</v>
      </c>
      <c r="I15" s="17"/>
      <c r="J15" s="17" t="s">
        <v>54</v>
      </c>
      <c r="K15" s="17" t="s">
        <v>56</v>
      </c>
      <c r="L15" s="17" t="s">
        <v>57</v>
      </c>
      <c r="M15" s="17" t="s">
        <v>128</v>
      </c>
      <c r="N15" s="17" t="s">
        <v>77</v>
      </c>
    </row>
    <row r="16" spans="1:14" x14ac:dyDescent="0.3">
      <c r="A16" s="17" t="s">
        <v>129</v>
      </c>
      <c r="B16" s="17" t="s">
        <v>47</v>
      </c>
      <c r="C16" s="17" t="s">
        <v>130</v>
      </c>
      <c r="D16" s="17" t="s">
        <v>124</v>
      </c>
      <c r="E16" s="17" t="s">
        <v>131</v>
      </c>
      <c r="F16" s="17" t="s">
        <v>51</v>
      </c>
      <c r="G16" s="17" t="s">
        <v>132</v>
      </c>
      <c r="H16" s="17" t="s">
        <v>133</v>
      </c>
      <c r="I16" s="17"/>
      <c r="J16" s="17" t="s">
        <v>54</v>
      </c>
      <c r="K16" s="17" t="s">
        <v>54</v>
      </c>
      <c r="L16" s="17" t="s">
        <v>55</v>
      </c>
      <c r="M16" s="17" t="s">
        <v>55</v>
      </c>
      <c r="N16" s="17" t="s">
        <v>134</v>
      </c>
    </row>
    <row r="17" spans="1:14" x14ac:dyDescent="0.3">
      <c r="A17" s="17" t="s">
        <v>135</v>
      </c>
      <c r="B17" s="17" t="s">
        <v>47</v>
      </c>
      <c r="C17" s="17" t="s">
        <v>136</v>
      </c>
      <c r="D17" s="17" t="s">
        <v>124</v>
      </c>
      <c r="E17" s="17" t="s">
        <v>137</v>
      </c>
      <c r="F17" s="17" t="s">
        <v>51</v>
      </c>
      <c r="G17" s="17" t="s">
        <v>138</v>
      </c>
      <c r="H17" s="17" t="s">
        <v>139</v>
      </c>
      <c r="I17" s="17"/>
      <c r="J17" s="17" t="s">
        <v>54</v>
      </c>
      <c r="K17" s="17" t="s">
        <v>54</v>
      </c>
      <c r="L17" s="17" t="s">
        <v>55</v>
      </c>
      <c r="M17" s="17" t="s">
        <v>55</v>
      </c>
      <c r="N17" s="17" t="s">
        <v>121</v>
      </c>
    </row>
    <row r="18" spans="1:14" x14ac:dyDescent="0.3">
      <c r="A18" s="17" t="s">
        <v>140</v>
      </c>
      <c r="B18" s="17" t="s">
        <v>47</v>
      </c>
      <c r="C18" s="17" t="s">
        <v>141</v>
      </c>
      <c r="D18" s="17" t="s">
        <v>124</v>
      </c>
      <c r="E18" s="17" t="s">
        <v>142</v>
      </c>
      <c r="F18" s="17" t="s">
        <v>51</v>
      </c>
      <c r="G18" s="17" t="s">
        <v>143</v>
      </c>
      <c r="H18" s="17" t="s">
        <v>144</v>
      </c>
      <c r="I18" s="17"/>
      <c r="J18" s="17" t="s">
        <v>54</v>
      </c>
      <c r="K18" s="17" t="s">
        <v>54</v>
      </c>
      <c r="L18" s="17" t="s">
        <v>55</v>
      </c>
      <c r="M18" s="17" t="s">
        <v>55</v>
      </c>
      <c r="N18" s="17" t="s">
        <v>71</v>
      </c>
    </row>
    <row r="19" spans="1:14" x14ac:dyDescent="0.3">
      <c r="A19" s="17" t="s">
        <v>145</v>
      </c>
      <c r="B19" s="17" t="s">
        <v>47</v>
      </c>
      <c r="C19" s="17" t="s">
        <v>146</v>
      </c>
      <c r="D19" s="17" t="s">
        <v>124</v>
      </c>
      <c r="E19" s="17" t="s">
        <v>147</v>
      </c>
      <c r="F19" s="17" t="s">
        <v>51</v>
      </c>
      <c r="G19" s="17" t="s">
        <v>148</v>
      </c>
      <c r="H19" s="17" t="s">
        <v>76</v>
      </c>
      <c r="I19" s="17"/>
      <c r="J19" s="17" t="s">
        <v>54</v>
      </c>
      <c r="K19" s="17" t="s">
        <v>54</v>
      </c>
      <c r="L19" s="17" t="s">
        <v>54</v>
      </c>
      <c r="M19" s="17" t="s">
        <v>54</v>
      </c>
      <c r="N19" s="17" t="s">
        <v>71</v>
      </c>
    </row>
    <row r="20" spans="1:14" x14ac:dyDescent="0.3">
      <c r="A20" s="17" t="s">
        <v>149</v>
      </c>
      <c r="B20" s="17" t="s">
        <v>47</v>
      </c>
      <c r="C20" s="17" t="s">
        <v>150</v>
      </c>
      <c r="D20" s="17" t="s">
        <v>124</v>
      </c>
      <c r="E20" s="17" t="s">
        <v>151</v>
      </c>
      <c r="F20" s="17" t="s">
        <v>51</v>
      </c>
      <c r="G20" s="17" t="s">
        <v>152</v>
      </c>
      <c r="H20" s="17" t="s">
        <v>76</v>
      </c>
      <c r="I20" s="17"/>
      <c r="J20" s="17" t="s">
        <v>64</v>
      </c>
      <c r="K20" s="17" t="s">
        <v>54</v>
      </c>
      <c r="L20" s="17" t="s">
        <v>54</v>
      </c>
      <c r="M20" s="17" t="s">
        <v>54</v>
      </c>
      <c r="N20" s="17" t="s">
        <v>121</v>
      </c>
    </row>
    <row r="21" spans="1:14" x14ac:dyDescent="0.3">
      <c r="A21" s="17" t="s">
        <v>153</v>
      </c>
      <c r="B21" s="17" t="s">
        <v>47</v>
      </c>
      <c r="C21" s="17" t="s">
        <v>154</v>
      </c>
      <c r="D21" s="17" t="s">
        <v>124</v>
      </c>
      <c r="E21" s="17" t="s">
        <v>155</v>
      </c>
      <c r="F21" s="17" t="s">
        <v>51</v>
      </c>
      <c r="G21" s="17" t="s">
        <v>156</v>
      </c>
      <c r="H21" s="17" t="s">
        <v>76</v>
      </c>
      <c r="I21" s="17"/>
      <c r="J21" s="17" t="s">
        <v>64</v>
      </c>
      <c r="K21" s="17" t="s">
        <v>64</v>
      </c>
      <c r="L21" s="17" t="s">
        <v>54</v>
      </c>
      <c r="M21" s="17" t="s">
        <v>54</v>
      </c>
      <c r="N21" s="17" t="s">
        <v>71</v>
      </c>
    </row>
    <row r="22" spans="1:14" x14ac:dyDescent="0.3">
      <c r="A22" s="17" t="s">
        <v>157</v>
      </c>
      <c r="B22" s="17" t="s">
        <v>47</v>
      </c>
      <c r="C22" s="17" t="s">
        <v>158</v>
      </c>
      <c r="D22" s="17" t="s">
        <v>124</v>
      </c>
      <c r="E22" s="17" t="s">
        <v>159</v>
      </c>
      <c r="F22" s="17" t="s">
        <v>51</v>
      </c>
      <c r="G22" s="17" t="s">
        <v>160</v>
      </c>
      <c r="H22" s="17" t="s">
        <v>161</v>
      </c>
      <c r="I22" s="17"/>
      <c r="J22" s="17" t="s">
        <v>54</v>
      </c>
      <c r="K22" s="17" t="s">
        <v>54</v>
      </c>
      <c r="L22" s="17" t="s">
        <v>55</v>
      </c>
      <c r="M22" s="17" t="s">
        <v>55</v>
      </c>
      <c r="N22" s="17" t="s">
        <v>77</v>
      </c>
    </row>
    <row r="23" spans="1:14" x14ac:dyDescent="0.3">
      <c r="A23" s="17" t="s">
        <v>162</v>
      </c>
      <c r="B23" s="17" t="s">
        <v>47</v>
      </c>
      <c r="C23" s="17" t="s">
        <v>163</v>
      </c>
      <c r="D23" s="17" t="s">
        <v>124</v>
      </c>
      <c r="E23" s="17" t="s">
        <v>164</v>
      </c>
      <c r="F23" s="17" t="s">
        <v>51</v>
      </c>
      <c r="G23" s="17" t="s">
        <v>165</v>
      </c>
      <c r="H23" s="17" t="s">
        <v>166</v>
      </c>
      <c r="I23" s="17"/>
      <c r="J23" s="17" t="s">
        <v>54</v>
      </c>
      <c r="K23" s="17" t="s">
        <v>54</v>
      </c>
      <c r="L23" s="17" t="s">
        <v>55</v>
      </c>
      <c r="M23" s="17" t="s">
        <v>55</v>
      </c>
      <c r="N23" s="17" t="s">
        <v>167</v>
      </c>
    </row>
    <row r="24" spans="1:14" x14ac:dyDescent="0.3">
      <c r="A24" s="17" t="s">
        <v>168</v>
      </c>
      <c r="B24" s="17" t="s">
        <v>47</v>
      </c>
      <c r="C24" s="17" t="s">
        <v>169</v>
      </c>
      <c r="D24" s="17" t="s">
        <v>124</v>
      </c>
      <c r="E24" s="17" t="s">
        <v>170</v>
      </c>
      <c r="F24" s="17" t="s">
        <v>51</v>
      </c>
      <c r="G24" s="17" t="s">
        <v>171</v>
      </c>
      <c r="H24" s="17" t="s">
        <v>76</v>
      </c>
      <c r="I24" s="17"/>
      <c r="J24" s="17" t="s">
        <v>54</v>
      </c>
      <c r="K24" s="17" t="s">
        <v>54</v>
      </c>
      <c r="L24" s="17" t="s">
        <v>54</v>
      </c>
      <c r="M24" s="17" t="s">
        <v>54</v>
      </c>
      <c r="N24" s="17" t="s">
        <v>167</v>
      </c>
    </row>
    <row r="25" spans="1:14" x14ac:dyDescent="0.3">
      <c r="A25" s="17" t="s">
        <v>172</v>
      </c>
      <c r="B25" s="17" t="s">
        <v>47</v>
      </c>
      <c r="C25" s="17" t="s">
        <v>173</v>
      </c>
      <c r="D25" s="17" t="s">
        <v>124</v>
      </c>
      <c r="E25" s="17" t="s">
        <v>174</v>
      </c>
      <c r="F25" s="17" t="s">
        <v>51</v>
      </c>
      <c r="G25" s="17" t="s">
        <v>175</v>
      </c>
      <c r="H25" s="17" t="s">
        <v>176</v>
      </c>
      <c r="I25" s="17"/>
      <c r="J25" s="17" t="s">
        <v>64</v>
      </c>
      <c r="K25" s="17" t="s">
        <v>54</v>
      </c>
      <c r="L25" s="17" t="s">
        <v>55</v>
      </c>
      <c r="M25" s="17" t="s">
        <v>56</v>
      </c>
      <c r="N25" s="17" t="s">
        <v>77</v>
      </c>
    </row>
    <row r="26" spans="1:14" x14ac:dyDescent="0.3">
      <c r="A26" s="17" t="s">
        <v>177</v>
      </c>
      <c r="B26" s="17" t="s">
        <v>47</v>
      </c>
      <c r="C26" s="17" t="s">
        <v>178</v>
      </c>
      <c r="D26" s="17" t="s">
        <v>124</v>
      </c>
      <c r="E26" s="17" t="s">
        <v>179</v>
      </c>
      <c r="F26" s="17" t="s">
        <v>51</v>
      </c>
      <c r="G26" s="17" t="s">
        <v>180</v>
      </c>
      <c r="H26" s="17" t="s">
        <v>181</v>
      </c>
      <c r="I26" s="17"/>
      <c r="J26" s="17" t="s">
        <v>64</v>
      </c>
      <c r="K26" s="17" t="s">
        <v>64</v>
      </c>
      <c r="L26" s="17" t="s">
        <v>54</v>
      </c>
      <c r="M26" s="17" t="s">
        <v>55</v>
      </c>
      <c r="N26" s="17" t="s">
        <v>71</v>
      </c>
    </row>
    <row r="27" spans="1:14" x14ac:dyDescent="0.3">
      <c r="A27" s="17" t="s">
        <v>182</v>
      </c>
      <c r="B27" s="17" t="s">
        <v>47</v>
      </c>
      <c r="C27" s="17" t="s">
        <v>183</v>
      </c>
      <c r="D27" s="17" t="s">
        <v>184</v>
      </c>
      <c r="E27" s="17" t="s">
        <v>185</v>
      </c>
      <c r="F27" s="17" t="s">
        <v>51</v>
      </c>
      <c r="G27" s="17" t="s">
        <v>186</v>
      </c>
      <c r="H27" s="17" t="s">
        <v>187</v>
      </c>
      <c r="I27" s="17"/>
      <c r="J27" s="17" t="s">
        <v>54</v>
      </c>
      <c r="K27" s="17" t="s">
        <v>54</v>
      </c>
      <c r="L27" s="17" t="s">
        <v>55</v>
      </c>
      <c r="M27" s="17" t="s">
        <v>55</v>
      </c>
      <c r="N27" s="17" t="s">
        <v>77</v>
      </c>
    </row>
    <row r="28" spans="1:14" x14ac:dyDescent="0.3">
      <c r="A28" s="17" t="s">
        <v>188</v>
      </c>
      <c r="B28" s="17" t="s">
        <v>47</v>
      </c>
      <c r="C28" s="17" t="s">
        <v>189</v>
      </c>
      <c r="D28" s="17" t="s">
        <v>184</v>
      </c>
      <c r="E28" s="17" t="s">
        <v>190</v>
      </c>
      <c r="F28" s="17" t="s">
        <v>51</v>
      </c>
      <c r="G28" s="17" t="s">
        <v>191</v>
      </c>
      <c r="H28" s="17" t="s">
        <v>192</v>
      </c>
      <c r="I28" s="17"/>
      <c r="J28" s="17" t="s">
        <v>54</v>
      </c>
      <c r="K28" s="17" t="s">
        <v>55</v>
      </c>
      <c r="L28" s="17" t="s">
        <v>56</v>
      </c>
      <c r="M28" s="17" t="s">
        <v>56</v>
      </c>
      <c r="N28" s="17" t="s">
        <v>98</v>
      </c>
    </row>
    <row r="29" spans="1:14" x14ac:dyDescent="0.3">
      <c r="A29" s="17" t="s">
        <v>193</v>
      </c>
      <c r="B29" s="17" t="s">
        <v>47</v>
      </c>
      <c r="C29" s="17" t="s">
        <v>194</v>
      </c>
      <c r="D29" s="17" t="s">
        <v>184</v>
      </c>
      <c r="E29" s="17" t="s">
        <v>195</v>
      </c>
      <c r="F29" s="17" t="s">
        <v>51</v>
      </c>
      <c r="G29" s="17" t="s">
        <v>196</v>
      </c>
      <c r="H29" s="17" t="s">
        <v>197</v>
      </c>
      <c r="I29" s="17"/>
      <c r="J29" s="17" t="s">
        <v>54</v>
      </c>
      <c r="K29" s="17" t="s">
        <v>54</v>
      </c>
      <c r="L29" s="17" t="s">
        <v>55</v>
      </c>
      <c r="M29" s="17" t="s">
        <v>56</v>
      </c>
      <c r="N29" s="17" t="s">
        <v>77</v>
      </c>
    </row>
    <row r="30" spans="1:14" x14ac:dyDescent="0.3">
      <c r="A30" s="17" t="s">
        <v>198</v>
      </c>
      <c r="B30" s="17" t="s">
        <v>47</v>
      </c>
      <c r="C30" s="17" t="s">
        <v>199</v>
      </c>
      <c r="D30" s="17" t="s">
        <v>184</v>
      </c>
      <c r="E30" s="17" t="s">
        <v>200</v>
      </c>
      <c r="F30" s="17" t="s">
        <v>51</v>
      </c>
      <c r="G30" s="17" t="s">
        <v>201</v>
      </c>
      <c r="H30" s="17" t="s">
        <v>202</v>
      </c>
      <c r="I30" s="17"/>
      <c r="J30" s="17" t="s">
        <v>64</v>
      </c>
      <c r="K30" s="17" t="s">
        <v>54</v>
      </c>
      <c r="L30" s="17" t="s">
        <v>55</v>
      </c>
      <c r="M30" s="17" t="s">
        <v>55</v>
      </c>
      <c r="N30" s="17" t="s">
        <v>77</v>
      </c>
    </row>
    <row r="31" spans="1:14" x14ac:dyDescent="0.3">
      <c r="A31" s="17" t="s">
        <v>203</v>
      </c>
      <c r="B31" s="17" t="s">
        <v>47</v>
      </c>
      <c r="C31" s="17" t="s">
        <v>204</v>
      </c>
      <c r="D31" s="17" t="s">
        <v>184</v>
      </c>
      <c r="E31" s="17" t="s">
        <v>205</v>
      </c>
      <c r="F31" s="17" t="s">
        <v>51</v>
      </c>
      <c r="G31" s="17" t="s">
        <v>206</v>
      </c>
      <c r="H31" s="17" t="s">
        <v>76</v>
      </c>
      <c r="I31" s="17"/>
      <c r="J31" s="17" t="s">
        <v>54</v>
      </c>
      <c r="K31" s="17" t="s">
        <v>54</v>
      </c>
      <c r="L31" s="17" t="s">
        <v>54</v>
      </c>
      <c r="M31" s="17" t="s">
        <v>54</v>
      </c>
      <c r="N31" s="17" t="s">
        <v>77</v>
      </c>
    </row>
    <row r="32" spans="1:14" x14ac:dyDescent="0.3">
      <c r="A32" s="17" t="s">
        <v>207</v>
      </c>
      <c r="B32" s="17" t="s">
        <v>47</v>
      </c>
      <c r="C32" s="17" t="s">
        <v>208</v>
      </c>
      <c r="D32" s="17" t="s">
        <v>184</v>
      </c>
      <c r="E32" s="17" t="s">
        <v>209</v>
      </c>
      <c r="F32" s="17" t="s">
        <v>51</v>
      </c>
      <c r="G32" s="17" t="s">
        <v>210</v>
      </c>
      <c r="H32" s="17" t="s">
        <v>76</v>
      </c>
      <c r="I32" s="17"/>
      <c r="J32" s="17" t="s">
        <v>54</v>
      </c>
      <c r="K32" s="17" t="s">
        <v>54</v>
      </c>
      <c r="L32" s="17" t="s">
        <v>54</v>
      </c>
      <c r="M32" s="17" t="s">
        <v>54</v>
      </c>
      <c r="N32" s="17" t="s">
        <v>211</v>
      </c>
    </row>
    <row r="33" spans="1:14" x14ac:dyDescent="0.3">
      <c r="A33" s="17" t="s">
        <v>212</v>
      </c>
      <c r="B33" s="17" t="s">
        <v>47</v>
      </c>
      <c r="C33" s="17" t="s">
        <v>213</v>
      </c>
      <c r="D33" s="17" t="s">
        <v>184</v>
      </c>
      <c r="E33" s="17" t="s">
        <v>214</v>
      </c>
      <c r="F33" s="17" t="s">
        <v>51</v>
      </c>
      <c r="G33" s="17" t="s">
        <v>215</v>
      </c>
      <c r="H33" s="17" t="s">
        <v>76</v>
      </c>
      <c r="I33" s="17"/>
      <c r="J33" s="17" t="s">
        <v>64</v>
      </c>
      <c r="K33" s="17" t="s">
        <v>54</v>
      </c>
      <c r="L33" s="17" t="s">
        <v>54</v>
      </c>
      <c r="M33" s="17" t="s">
        <v>54</v>
      </c>
      <c r="N33" s="17" t="s">
        <v>77</v>
      </c>
    </row>
    <row r="34" spans="1:14" ht="22.8" x14ac:dyDescent="0.3">
      <c r="A34" s="17" t="s">
        <v>216</v>
      </c>
      <c r="B34" s="17" t="s">
        <v>47</v>
      </c>
      <c r="C34" s="17" t="s">
        <v>217</v>
      </c>
      <c r="D34" s="17" t="s">
        <v>184</v>
      </c>
      <c r="E34" s="17" t="s">
        <v>218</v>
      </c>
      <c r="F34" s="17" t="s">
        <v>51</v>
      </c>
      <c r="G34" s="17" t="s">
        <v>219</v>
      </c>
      <c r="H34" s="17" t="s">
        <v>220</v>
      </c>
      <c r="I34" s="17"/>
      <c r="J34" s="17" t="s">
        <v>64</v>
      </c>
      <c r="K34" s="17" t="s">
        <v>54</v>
      </c>
      <c r="L34" s="17" t="s">
        <v>56</v>
      </c>
      <c r="M34" s="17" t="s">
        <v>57</v>
      </c>
      <c r="N34" s="17" t="s">
        <v>71</v>
      </c>
    </row>
    <row r="35" spans="1:14" x14ac:dyDescent="0.3">
      <c r="A35" s="17" t="s">
        <v>221</v>
      </c>
      <c r="B35" s="17" t="s">
        <v>47</v>
      </c>
      <c r="C35" s="17" t="s">
        <v>222</v>
      </c>
      <c r="D35" s="17" t="s">
        <v>184</v>
      </c>
      <c r="E35" s="17" t="s">
        <v>223</v>
      </c>
      <c r="F35" s="17" t="s">
        <v>51</v>
      </c>
      <c r="G35" s="17" t="s">
        <v>224</v>
      </c>
      <c r="H35" s="17" t="s">
        <v>225</v>
      </c>
      <c r="I35" s="17"/>
      <c r="J35" s="17" t="s">
        <v>64</v>
      </c>
      <c r="K35" s="17" t="s">
        <v>54</v>
      </c>
      <c r="L35" s="17" t="s">
        <v>54</v>
      </c>
      <c r="M35" s="17" t="s">
        <v>55</v>
      </c>
      <c r="N35" s="17" t="s">
        <v>167</v>
      </c>
    </row>
    <row r="36" spans="1:14" ht="22.8" x14ac:dyDescent="0.3">
      <c r="A36" s="17" t="s">
        <v>226</v>
      </c>
      <c r="B36" s="17" t="s">
        <v>47</v>
      </c>
      <c r="C36" s="17" t="s">
        <v>227</v>
      </c>
      <c r="D36" s="17" t="s">
        <v>228</v>
      </c>
      <c r="E36" s="17" t="s">
        <v>229</v>
      </c>
      <c r="F36" s="17" t="s">
        <v>51</v>
      </c>
      <c r="G36" s="17" t="s">
        <v>230</v>
      </c>
      <c r="H36" s="17" t="s">
        <v>231</v>
      </c>
      <c r="I36" s="17"/>
      <c r="J36" s="17" t="s">
        <v>54</v>
      </c>
      <c r="K36" s="17" t="s">
        <v>55</v>
      </c>
      <c r="L36" s="17" t="s">
        <v>55</v>
      </c>
      <c r="M36" s="17" t="s">
        <v>56</v>
      </c>
      <c r="N36" s="17" t="s">
        <v>77</v>
      </c>
    </row>
    <row r="37" spans="1:14" x14ac:dyDescent="0.3">
      <c r="A37" s="17" t="s">
        <v>232</v>
      </c>
      <c r="B37" s="17" t="s">
        <v>47</v>
      </c>
      <c r="C37" s="17" t="s">
        <v>233</v>
      </c>
      <c r="D37" s="17" t="s">
        <v>228</v>
      </c>
      <c r="E37" s="17" t="s">
        <v>234</v>
      </c>
      <c r="F37" s="17" t="s">
        <v>51</v>
      </c>
      <c r="G37" s="17" t="s">
        <v>235</v>
      </c>
      <c r="H37" s="17" t="s">
        <v>236</v>
      </c>
      <c r="I37" s="17"/>
      <c r="J37" s="17" t="s">
        <v>64</v>
      </c>
      <c r="K37" s="17" t="s">
        <v>54</v>
      </c>
      <c r="L37" s="17" t="s">
        <v>55</v>
      </c>
      <c r="M37" s="17" t="s">
        <v>55</v>
      </c>
      <c r="N37" s="17" t="s">
        <v>77</v>
      </c>
    </row>
    <row r="38" spans="1:14" x14ac:dyDescent="0.3">
      <c r="A38" s="17" t="s">
        <v>237</v>
      </c>
      <c r="B38" s="17" t="s">
        <v>47</v>
      </c>
      <c r="C38" s="17" t="s">
        <v>238</v>
      </c>
      <c r="D38" s="17" t="s">
        <v>228</v>
      </c>
      <c r="E38" s="17" t="s">
        <v>239</v>
      </c>
      <c r="F38" s="17" t="s">
        <v>51</v>
      </c>
      <c r="G38" s="17" t="s">
        <v>240</v>
      </c>
      <c r="H38" s="17" t="s">
        <v>76</v>
      </c>
      <c r="I38" s="17"/>
      <c r="J38" s="17" t="s">
        <v>54</v>
      </c>
      <c r="K38" s="17" t="s">
        <v>54</v>
      </c>
      <c r="L38" s="17" t="s">
        <v>54</v>
      </c>
      <c r="M38" s="17" t="s">
        <v>54</v>
      </c>
      <c r="N38" s="17" t="s">
        <v>77</v>
      </c>
    </row>
    <row r="39" spans="1:14" ht="22.8" x14ac:dyDescent="0.3">
      <c r="A39" s="17" t="s">
        <v>241</v>
      </c>
      <c r="B39" s="17" t="s">
        <v>47</v>
      </c>
      <c r="C39" s="17" t="s">
        <v>242</v>
      </c>
      <c r="D39" s="17" t="s">
        <v>243</v>
      </c>
      <c r="E39" s="17" t="s">
        <v>244</v>
      </c>
      <c r="F39" s="17" t="s">
        <v>51</v>
      </c>
      <c r="G39" s="17" t="s">
        <v>245</v>
      </c>
      <c r="H39" s="17" t="s">
        <v>246</v>
      </c>
      <c r="I39" s="17"/>
      <c r="J39" s="17" t="s">
        <v>54</v>
      </c>
      <c r="K39" s="17" t="s">
        <v>55</v>
      </c>
      <c r="L39" s="17" t="s">
        <v>56</v>
      </c>
      <c r="M39" s="17" t="s">
        <v>57</v>
      </c>
      <c r="N39" s="17" t="s">
        <v>134</v>
      </c>
    </row>
    <row r="40" spans="1:14" ht="22.8" x14ac:dyDescent="0.3">
      <c r="A40" s="17" t="s">
        <v>247</v>
      </c>
      <c r="B40" s="17" t="s">
        <v>47</v>
      </c>
      <c r="C40" s="17" t="s">
        <v>248</v>
      </c>
      <c r="D40" s="17" t="s">
        <v>243</v>
      </c>
      <c r="E40" s="17" t="s">
        <v>249</v>
      </c>
      <c r="F40" s="17" t="s">
        <v>51</v>
      </c>
      <c r="G40" s="17" t="s">
        <v>250</v>
      </c>
      <c r="H40" s="17" t="s">
        <v>251</v>
      </c>
      <c r="I40" s="17"/>
      <c r="J40" s="17" t="s">
        <v>54</v>
      </c>
      <c r="K40" s="17" t="s">
        <v>55</v>
      </c>
      <c r="L40" s="17" t="s">
        <v>57</v>
      </c>
      <c r="M40" s="17" t="s">
        <v>57</v>
      </c>
      <c r="N40" s="17" t="s">
        <v>134</v>
      </c>
    </row>
    <row r="41" spans="1:14" ht="22.8" x14ac:dyDescent="0.3">
      <c r="A41" s="17" t="s">
        <v>252</v>
      </c>
      <c r="B41" s="17" t="s">
        <v>47</v>
      </c>
      <c r="C41" s="17" t="s">
        <v>253</v>
      </c>
      <c r="D41" s="17" t="s">
        <v>243</v>
      </c>
      <c r="E41" s="17" t="s">
        <v>254</v>
      </c>
      <c r="F41" s="17" t="s">
        <v>51</v>
      </c>
      <c r="G41" s="17" t="s">
        <v>255</v>
      </c>
      <c r="H41" s="17" t="s">
        <v>256</v>
      </c>
      <c r="I41" s="17"/>
      <c r="J41" s="17" t="s">
        <v>54</v>
      </c>
      <c r="K41" s="17" t="s">
        <v>54</v>
      </c>
      <c r="L41" s="17" t="s">
        <v>55</v>
      </c>
      <c r="M41" s="17" t="s">
        <v>55</v>
      </c>
      <c r="N41" s="17" t="s">
        <v>121</v>
      </c>
    </row>
    <row r="42" spans="1:14" x14ac:dyDescent="0.3">
      <c r="A42" s="17" t="s">
        <v>257</v>
      </c>
      <c r="B42" s="17" t="s">
        <v>47</v>
      </c>
      <c r="C42" s="17" t="s">
        <v>258</v>
      </c>
      <c r="D42" s="17" t="s">
        <v>243</v>
      </c>
      <c r="E42" s="17" t="s">
        <v>259</v>
      </c>
      <c r="F42" s="17" t="s">
        <v>51</v>
      </c>
      <c r="G42" s="17" t="s">
        <v>260</v>
      </c>
      <c r="H42" s="17" t="s">
        <v>76</v>
      </c>
      <c r="I42" s="17"/>
      <c r="J42" s="17" t="s">
        <v>54</v>
      </c>
      <c r="K42" s="17" t="s">
        <v>54</v>
      </c>
      <c r="L42" s="17" t="s">
        <v>54</v>
      </c>
      <c r="M42" s="17" t="s">
        <v>54</v>
      </c>
      <c r="N42" s="17" t="s">
        <v>71</v>
      </c>
    </row>
    <row r="43" spans="1:14" x14ac:dyDescent="0.3">
      <c r="A43" s="17" t="s">
        <v>261</v>
      </c>
      <c r="B43" s="17" t="s">
        <v>47</v>
      </c>
      <c r="C43" s="17" t="s">
        <v>262</v>
      </c>
      <c r="D43" s="17" t="s">
        <v>263</v>
      </c>
      <c r="E43" s="17" t="s">
        <v>264</v>
      </c>
      <c r="F43" s="17" t="s">
        <v>51</v>
      </c>
      <c r="G43" s="17" t="s">
        <v>265</v>
      </c>
      <c r="H43" s="17" t="s">
        <v>266</v>
      </c>
      <c r="I43" s="17"/>
      <c r="J43" s="17" t="s">
        <v>54</v>
      </c>
      <c r="K43" s="17" t="s">
        <v>54</v>
      </c>
      <c r="L43" s="17" t="s">
        <v>55</v>
      </c>
      <c r="M43" s="17" t="s">
        <v>55</v>
      </c>
      <c r="N43" s="17" t="s">
        <v>167</v>
      </c>
    </row>
    <row r="44" spans="1:14" x14ac:dyDescent="0.3">
      <c r="A44" s="17" t="s">
        <v>267</v>
      </c>
      <c r="B44" s="17" t="s">
        <v>47</v>
      </c>
      <c r="C44" s="17" t="s">
        <v>268</v>
      </c>
      <c r="D44" s="17" t="s">
        <v>263</v>
      </c>
      <c r="E44" s="17" t="s">
        <v>269</v>
      </c>
      <c r="F44" s="17" t="s">
        <v>51</v>
      </c>
      <c r="G44" s="17" t="s">
        <v>270</v>
      </c>
      <c r="H44" s="17" t="s">
        <v>76</v>
      </c>
      <c r="I44" s="17"/>
      <c r="J44" s="17" t="s">
        <v>64</v>
      </c>
      <c r="K44" s="17" t="s">
        <v>54</v>
      </c>
      <c r="L44" s="17" t="s">
        <v>54</v>
      </c>
      <c r="M44" s="17" t="s">
        <v>54</v>
      </c>
      <c r="N44" s="17" t="s">
        <v>77</v>
      </c>
    </row>
    <row r="45" spans="1:14" ht="22.8" x14ac:dyDescent="0.3">
      <c r="A45" s="17" t="s">
        <v>271</v>
      </c>
      <c r="B45" s="17" t="s">
        <v>47</v>
      </c>
      <c r="C45" s="17" t="s">
        <v>272</v>
      </c>
      <c r="D45" s="17" t="s">
        <v>273</v>
      </c>
      <c r="E45" s="17" t="s">
        <v>274</v>
      </c>
      <c r="F45" s="17" t="s">
        <v>51</v>
      </c>
      <c r="G45" s="17" t="s">
        <v>275</v>
      </c>
      <c r="H45" s="17" t="s">
        <v>276</v>
      </c>
      <c r="I45" s="17"/>
      <c r="J45" s="17" t="s">
        <v>54</v>
      </c>
      <c r="K45" s="17" t="s">
        <v>55</v>
      </c>
      <c r="L45" s="17" t="s">
        <v>56</v>
      </c>
      <c r="M45" s="17" t="s">
        <v>56</v>
      </c>
      <c r="N45" s="17" t="s">
        <v>77</v>
      </c>
    </row>
    <row r="46" spans="1:14" x14ac:dyDescent="0.3">
      <c r="A46" s="17" t="s">
        <v>277</v>
      </c>
      <c r="B46" s="17" t="s">
        <v>47</v>
      </c>
      <c r="C46" s="17" t="s">
        <v>278</v>
      </c>
      <c r="D46" s="17" t="s">
        <v>273</v>
      </c>
      <c r="E46" s="17" t="s">
        <v>279</v>
      </c>
      <c r="F46" s="17" t="s">
        <v>51</v>
      </c>
      <c r="G46" s="17" t="s">
        <v>280</v>
      </c>
      <c r="H46" s="17" t="s">
        <v>76</v>
      </c>
      <c r="I46" s="17"/>
      <c r="J46" s="17" t="s">
        <v>54</v>
      </c>
      <c r="K46" s="17" t="s">
        <v>54</v>
      </c>
      <c r="L46" s="17" t="s">
        <v>54</v>
      </c>
      <c r="M46" s="17" t="s">
        <v>54</v>
      </c>
      <c r="N46" s="17" t="s">
        <v>77</v>
      </c>
    </row>
    <row r="47" spans="1:14" x14ac:dyDescent="0.3">
      <c r="A47" s="17" t="s">
        <v>281</v>
      </c>
      <c r="B47" s="17" t="s">
        <v>47</v>
      </c>
      <c r="C47" s="17" t="s">
        <v>282</v>
      </c>
      <c r="D47" s="17" t="s">
        <v>273</v>
      </c>
      <c r="E47" s="17" t="s">
        <v>283</v>
      </c>
      <c r="F47" s="17" t="s">
        <v>51</v>
      </c>
      <c r="G47" s="17" t="s">
        <v>284</v>
      </c>
      <c r="H47" s="17" t="s">
        <v>285</v>
      </c>
      <c r="I47" s="17"/>
      <c r="J47" s="17" t="s">
        <v>54</v>
      </c>
      <c r="K47" s="17" t="s">
        <v>55</v>
      </c>
      <c r="L47" s="17" t="s">
        <v>56</v>
      </c>
      <c r="M47" s="17" t="s">
        <v>56</v>
      </c>
      <c r="N47" s="17" t="s">
        <v>167</v>
      </c>
    </row>
    <row r="48" spans="1:14" x14ac:dyDescent="0.3">
      <c r="A48" s="17" t="s">
        <v>286</v>
      </c>
      <c r="B48" s="17" t="s">
        <v>47</v>
      </c>
      <c r="C48" s="17" t="s">
        <v>287</v>
      </c>
      <c r="D48" s="17" t="s">
        <v>273</v>
      </c>
      <c r="E48" s="17" t="s">
        <v>288</v>
      </c>
      <c r="F48" s="17" t="s">
        <v>51</v>
      </c>
      <c r="G48" s="17" t="s">
        <v>289</v>
      </c>
      <c r="H48" s="17" t="s">
        <v>76</v>
      </c>
      <c r="I48" s="17"/>
      <c r="J48" s="17" t="s">
        <v>54</v>
      </c>
      <c r="K48" s="17" t="s">
        <v>54</v>
      </c>
      <c r="L48" s="17" t="s">
        <v>54</v>
      </c>
      <c r="M48" s="17" t="s">
        <v>54</v>
      </c>
      <c r="N48" s="17" t="s">
        <v>77</v>
      </c>
    </row>
    <row r="49" spans="1:14" x14ac:dyDescent="0.3">
      <c r="A49" s="17" t="s">
        <v>290</v>
      </c>
      <c r="B49" s="17" t="s">
        <v>47</v>
      </c>
      <c r="C49" s="17" t="s">
        <v>291</v>
      </c>
      <c r="D49" s="17" t="s">
        <v>273</v>
      </c>
      <c r="E49" s="17" t="s">
        <v>292</v>
      </c>
      <c r="F49" s="17" t="s">
        <v>51</v>
      </c>
      <c r="G49" s="17" t="s">
        <v>293</v>
      </c>
      <c r="H49" s="17" t="s">
        <v>76</v>
      </c>
      <c r="I49" s="17"/>
      <c r="J49" s="17" t="s">
        <v>54</v>
      </c>
      <c r="K49" s="17" t="s">
        <v>54</v>
      </c>
      <c r="L49" s="17" t="s">
        <v>54</v>
      </c>
      <c r="M49" s="17" t="s">
        <v>54</v>
      </c>
      <c r="N49" s="17" t="s">
        <v>77</v>
      </c>
    </row>
    <row r="50" spans="1:14" x14ac:dyDescent="0.3">
      <c r="A50" s="17" t="s">
        <v>294</v>
      </c>
      <c r="B50" s="17" t="s">
        <v>47</v>
      </c>
      <c r="C50" s="17" t="s">
        <v>295</v>
      </c>
      <c r="D50" s="17" t="s">
        <v>273</v>
      </c>
      <c r="E50" s="17" t="s">
        <v>296</v>
      </c>
      <c r="F50" s="17" t="s">
        <v>51</v>
      </c>
      <c r="G50" s="17" t="s">
        <v>297</v>
      </c>
      <c r="H50" s="17" t="s">
        <v>298</v>
      </c>
      <c r="I50" s="17"/>
      <c r="J50" s="17" t="s">
        <v>54</v>
      </c>
      <c r="K50" s="17" t="s">
        <v>54</v>
      </c>
      <c r="L50" s="17" t="s">
        <v>55</v>
      </c>
      <c r="M50" s="17" t="s">
        <v>55</v>
      </c>
      <c r="N50" s="17" t="s">
        <v>77</v>
      </c>
    </row>
    <row r="51" spans="1:14" x14ac:dyDescent="0.3">
      <c r="A51" s="17" t="s">
        <v>299</v>
      </c>
      <c r="B51" s="17" t="s">
        <v>47</v>
      </c>
      <c r="C51" s="17" t="s">
        <v>300</v>
      </c>
      <c r="D51" s="17" t="s">
        <v>273</v>
      </c>
      <c r="E51" s="17" t="s">
        <v>301</v>
      </c>
      <c r="F51" s="17" t="s">
        <v>51</v>
      </c>
      <c r="G51" s="17" t="s">
        <v>302</v>
      </c>
      <c r="H51" s="17" t="s">
        <v>76</v>
      </c>
      <c r="I51" s="17"/>
      <c r="J51" s="17" t="s">
        <v>54</v>
      </c>
      <c r="K51" s="17" t="s">
        <v>54</v>
      </c>
      <c r="L51" s="17" t="s">
        <v>54</v>
      </c>
      <c r="M51" s="17" t="s">
        <v>54</v>
      </c>
      <c r="N51" s="17" t="s">
        <v>77</v>
      </c>
    </row>
    <row r="52" spans="1:14" x14ac:dyDescent="0.3">
      <c r="A52" s="17" t="s">
        <v>303</v>
      </c>
      <c r="B52" s="17" t="s">
        <v>47</v>
      </c>
      <c r="C52" s="17" t="s">
        <v>304</v>
      </c>
      <c r="D52" s="17" t="s">
        <v>273</v>
      </c>
      <c r="E52" s="17" t="s">
        <v>305</v>
      </c>
      <c r="F52" s="17" t="s">
        <v>51</v>
      </c>
      <c r="G52" s="17" t="s">
        <v>306</v>
      </c>
      <c r="H52" s="17" t="s">
        <v>76</v>
      </c>
      <c r="I52" s="17"/>
      <c r="J52" s="17" t="s">
        <v>64</v>
      </c>
      <c r="K52" s="17" t="s">
        <v>54</v>
      </c>
      <c r="L52" s="17" t="s">
        <v>54</v>
      </c>
      <c r="M52" s="17" t="s">
        <v>54</v>
      </c>
      <c r="N52" s="17" t="s">
        <v>77</v>
      </c>
    </row>
    <row r="53" spans="1:14" ht="22.8" x14ac:dyDescent="0.3">
      <c r="A53" s="17" t="s">
        <v>307</v>
      </c>
      <c r="B53" s="17" t="s">
        <v>308</v>
      </c>
      <c r="C53" s="17" t="s">
        <v>282</v>
      </c>
      <c r="D53" s="17" t="s">
        <v>49</v>
      </c>
      <c r="E53" s="17" t="s">
        <v>309</v>
      </c>
      <c r="F53" s="17" t="s">
        <v>310</v>
      </c>
      <c r="G53" s="17" t="s">
        <v>311</v>
      </c>
      <c r="H53" s="17" t="s">
        <v>312</v>
      </c>
      <c r="I53" s="17"/>
      <c r="J53" s="17" t="s">
        <v>54</v>
      </c>
      <c r="K53" s="17" t="s">
        <v>55</v>
      </c>
      <c r="L53" s="17" t="s">
        <v>56</v>
      </c>
      <c r="M53" s="17" t="s">
        <v>57</v>
      </c>
      <c r="N53" s="17" t="s">
        <v>313</v>
      </c>
    </row>
    <row r="54" spans="1:14" ht="22.8" x14ac:dyDescent="0.3">
      <c r="A54" s="17" t="s">
        <v>314</v>
      </c>
      <c r="B54" s="17" t="s">
        <v>308</v>
      </c>
      <c r="C54" s="17" t="s">
        <v>282</v>
      </c>
      <c r="D54" s="17" t="s">
        <v>49</v>
      </c>
      <c r="E54" s="17" t="s">
        <v>315</v>
      </c>
      <c r="F54" s="17" t="s">
        <v>310</v>
      </c>
      <c r="G54" s="17" t="s">
        <v>316</v>
      </c>
      <c r="H54" s="17" t="s">
        <v>317</v>
      </c>
      <c r="I54" s="17"/>
      <c r="J54" s="17" t="s">
        <v>64</v>
      </c>
      <c r="K54" s="17" t="s">
        <v>54</v>
      </c>
      <c r="L54" s="17" t="s">
        <v>55</v>
      </c>
      <c r="M54" s="17" t="s">
        <v>55</v>
      </c>
      <c r="N54" s="17" t="s">
        <v>318</v>
      </c>
    </row>
    <row r="55" spans="1:14" ht="22.8" x14ac:dyDescent="0.3">
      <c r="A55" s="17" t="s">
        <v>319</v>
      </c>
      <c r="B55" s="17" t="s">
        <v>308</v>
      </c>
      <c r="C55" s="17" t="s">
        <v>287</v>
      </c>
      <c r="D55" s="17" t="s">
        <v>124</v>
      </c>
      <c r="E55" s="17" t="s">
        <v>320</v>
      </c>
      <c r="F55" s="17" t="s">
        <v>310</v>
      </c>
      <c r="G55" s="17" t="s">
        <v>321</v>
      </c>
      <c r="H55" s="17" t="s">
        <v>322</v>
      </c>
      <c r="I55" s="17"/>
      <c r="J55" s="17" t="s">
        <v>54</v>
      </c>
      <c r="K55" s="17" t="s">
        <v>56</v>
      </c>
      <c r="L55" s="17" t="s">
        <v>57</v>
      </c>
      <c r="M55" s="17" t="s">
        <v>128</v>
      </c>
      <c r="N55" s="17" t="s">
        <v>318</v>
      </c>
    </row>
    <row r="56" spans="1:14" x14ac:dyDescent="0.3">
      <c r="A56" s="17" t="s">
        <v>323</v>
      </c>
      <c r="B56" s="17" t="s">
        <v>308</v>
      </c>
      <c r="C56" s="17" t="s">
        <v>287</v>
      </c>
      <c r="D56" s="17" t="s">
        <v>124</v>
      </c>
      <c r="E56" s="17" t="s">
        <v>324</v>
      </c>
      <c r="F56" s="17" t="s">
        <v>310</v>
      </c>
      <c r="G56" s="17" t="s">
        <v>325</v>
      </c>
      <c r="H56" s="17" t="s">
        <v>326</v>
      </c>
      <c r="I56" s="17"/>
      <c r="J56" s="17" t="s">
        <v>54</v>
      </c>
      <c r="K56" s="17" t="s">
        <v>54</v>
      </c>
      <c r="L56" s="17" t="s">
        <v>55</v>
      </c>
      <c r="M56" s="17" t="s">
        <v>55</v>
      </c>
      <c r="N56" s="17" t="s">
        <v>318</v>
      </c>
    </row>
    <row r="57" spans="1:14" ht="22.8" x14ac:dyDescent="0.3">
      <c r="A57" s="17" t="s">
        <v>327</v>
      </c>
      <c r="B57" s="17" t="s">
        <v>308</v>
      </c>
      <c r="C57" s="17" t="s">
        <v>291</v>
      </c>
      <c r="D57" s="17" t="s">
        <v>184</v>
      </c>
      <c r="E57" s="17" t="s">
        <v>328</v>
      </c>
      <c r="F57" s="17" t="s">
        <v>310</v>
      </c>
      <c r="G57" s="17" t="s">
        <v>329</v>
      </c>
      <c r="H57" s="17" t="s">
        <v>330</v>
      </c>
      <c r="I57" s="17"/>
      <c r="J57" s="17" t="s">
        <v>54</v>
      </c>
      <c r="K57" s="17" t="s">
        <v>55</v>
      </c>
      <c r="L57" s="17" t="s">
        <v>56</v>
      </c>
      <c r="M57" s="17" t="s">
        <v>56</v>
      </c>
      <c r="N57" s="17" t="s">
        <v>318</v>
      </c>
    </row>
    <row r="58" spans="1:14" x14ac:dyDescent="0.3">
      <c r="A58" s="17" t="s">
        <v>331</v>
      </c>
      <c r="B58" s="17" t="s">
        <v>308</v>
      </c>
      <c r="C58" s="17" t="s">
        <v>291</v>
      </c>
      <c r="D58" s="17" t="s">
        <v>184</v>
      </c>
      <c r="E58" s="17" t="s">
        <v>332</v>
      </c>
      <c r="F58" s="17" t="s">
        <v>310</v>
      </c>
      <c r="G58" s="17" t="s">
        <v>333</v>
      </c>
      <c r="H58" s="17" t="s">
        <v>334</v>
      </c>
      <c r="I58" s="17"/>
      <c r="J58" s="17" t="s">
        <v>54</v>
      </c>
      <c r="K58" s="17" t="s">
        <v>54</v>
      </c>
      <c r="L58" s="17" t="s">
        <v>54</v>
      </c>
      <c r="M58" s="17" t="s">
        <v>54</v>
      </c>
      <c r="N58" s="17" t="s">
        <v>318</v>
      </c>
    </row>
    <row r="59" spans="1:14" x14ac:dyDescent="0.3">
      <c r="A59" s="17" t="s">
        <v>335</v>
      </c>
      <c r="B59" s="17" t="s">
        <v>308</v>
      </c>
      <c r="C59" s="17" t="s">
        <v>291</v>
      </c>
      <c r="D59" s="17" t="s">
        <v>184</v>
      </c>
      <c r="E59" s="17" t="s">
        <v>336</v>
      </c>
      <c r="F59" s="17" t="s">
        <v>310</v>
      </c>
      <c r="G59" s="17" t="s">
        <v>337</v>
      </c>
      <c r="H59" s="17" t="s">
        <v>338</v>
      </c>
      <c r="I59" s="17"/>
      <c r="J59" s="17" t="s">
        <v>54</v>
      </c>
      <c r="K59" s="17" t="s">
        <v>54</v>
      </c>
      <c r="L59" s="17" t="s">
        <v>54</v>
      </c>
      <c r="M59" s="17" t="s">
        <v>54</v>
      </c>
      <c r="N59" s="17" t="s">
        <v>318</v>
      </c>
    </row>
    <row r="60" spans="1:14" ht="22.8" x14ac:dyDescent="0.3">
      <c r="A60" s="17" t="s">
        <v>339</v>
      </c>
      <c r="B60" s="17" t="s">
        <v>308</v>
      </c>
      <c r="C60" s="17" t="s">
        <v>291</v>
      </c>
      <c r="D60" s="17" t="s">
        <v>184</v>
      </c>
      <c r="E60" s="17" t="s">
        <v>340</v>
      </c>
      <c r="F60" s="17" t="s">
        <v>310</v>
      </c>
      <c r="G60" s="17" t="s">
        <v>341</v>
      </c>
      <c r="H60" s="17" t="s">
        <v>342</v>
      </c>
      <c r="I60" s="17"/>
      <c r="J60" s="17" t="s">
        <v>64</v>
      </c>
      <c r="K60" s="17" t="s">
        <v>54</v>
      </c>
      <c r="L60" s="17" t="s">
        <v>54</v>
      </c>
      <c r="M60" s="17" t="s">
        <v>54</v>
      </c>
      <c r="N60" s="17" t="s">
        <v>318</v>
      </c>
    </row>
    <row r="61" spans="1:14" x14ac:dyDescent="0.3">
      <c r="A61" s="17" t="s">
        <v>343</v>
      </c>
      <c r="B61" s="17" t="s">
        <v>308</v>
      </c>
      <c r="C61" s="17" t="s">
        <v>344</v>
      </c>
      <c r="D61" s="17" t="s">
        <v>273</v>
      </c>
      <c r="E61" s="17" t="s">
        <v>345</v>
      </c>
      <c r="F61" s="17" t="s">
        <v>310</v>
      </c>
      <c r="G61" s="17" t="s">
        <v>346</v>
      </c>
      <c r="H61" s="17" t="s">
        <v>347</v>
      </c>
      <c r="I61" s="17"/>
      <c r="J61" s="17" t="s">
        <v>54</v>
      </c>
      <c r="K61" s="17" t="s">
        <v>55</v>
      </c>
      <c r="L61" s="17" t="s">
        <v>56</v>
      </c>
      <c r="M61" s="17" t="s">
        <v>56</v>
      </c>
      <c r="N61" s="17" t="s">
        <v>318</v>
      </c>
    </row>
    <row r="62" spans="1:14" x14ac:dyDescent="0.3">
      <c r="A62" s="17" t="s">
        <v>348</v>
      </c>
      <c r="B62" s="17" t="s">
        <v>308</v>
      </c>
      <c r="C62" s="17" t="s">
        <v>349</v>
      </c>
      <c r="D62" s="17" t="s">
        <v>49</v>
      </c>
      <c r="E62" s="17" t="s">
        <v>350</v>
      </c>
      <c r="F62" s="17" t="s">
        <v>351</v>
      </c>
      <c r="G62" s="17" t="s">
        <v>352</v>
      </c>
      <c r="H62" s="17" t="s">
        <v>312</v>
      </c>
      <c r="I62" s="17"/>
      <c r="J62" s="17" t="s">
        <v>54</v>
      </c>
      <c r="K62" s="17" t="s">
        <v>55</v>
      </c>
      <c r="L62" s="17" t="s">
        <v>56</v>
      </c>
      <c r="M62" s="17" t="s">
        <v>57</v>
      </c>
      <c r="N62" s="17" t="s">
        <v>353</v>
      </c>
    </row>
    <row r="63" spans="1:14" x14ac:dyDescent="0.3">
      <c r="A63" s="17" t="s">
        <v>354</v>
      </c>
      <c r="B63" s="17" t="s">
        <v>308</v>
      </c>
      <c r="C63" s="17" t="s">
        <v>349</v>
      </c>
      <c r="D63" s="17" t="s">
        <v>49</v>
      </c>
      <c r="E63" s="17" t="s">
        <v>355</v>
      </c>
      <c r="F63" s="17" t="s">
        <v>351</v>
      </c>
      <c r="G63" s="17" t="s">
        <v>356</v>
      </c>
      <c r="H63" s="17" t="s">
        <v>357</v>
      </c>
      <c r="I63" s="17"/>
      <c r="J63" s="17" t="s">
        <v>54</v>
      </c>
      <c r="K63" s="17" t="s">
        <v>54</v>
      </c>
      <c r="L63" s="17" t="s">
        <v>55</v>
      </c>
      <c r="M63" s="17" t="s">
        <v>56</v>
      </c>
      <c r="N63" s="17" t="s">
        <v>358</v>
      </c>
    </row>
    <row r="64" spans="1:14" ht="22.8" x14ac:dyDescent="0.3">
      <c r="A64" s="17" t="s">
        <v>359</v>
      </c>
      <c r="B64" s="17" t="s">
        <v>308</v>
      </c>
      <c r="C64" s="17" t="s">
        <v>360</v>
      </c>
      <c r="D64" s="17" t="s">
        <v>124</v>
      </c>
      <c r="E64" s="17" t="s">
        <v>361</v>
      </c>
      <c r="F64" s="17" t="s">
        <v>351</v>
      </c>
      <c r="G64" s="17" t="s">
        <v>362</v>
      </c>
      <c r="H64" s="17" t="s">
        <v>322</v>
      </c>
      <c r="I64" s="17"/>
      <c r="J64" s="17" t="s">
        <v>54</v>
      </c>
      <c r="K64" s="17" t="s">
        <v>56</v>
      </c>
      <c r="L64" s="17" t="s">
        <v>57</v>
      </c>
      <c r="M64" s="17" t="s">
        <v>128</v>
      </c>
      <c r="N64" s="17" t="s">
        <v>358</v>
      </c>
    </row>
    <row r="65" spans="1:14" x14ac:dyDescent="0.3">
      <c r="A65" s="17" t="s">
        <v>363</v>
      </c>
      <c r="B65" s="17" t="s">
        <v>308</v>
      </c>
      <c r="C65" s="17" t="s">
        <v>360</v>
      </c>
      <c r="D65" s="17" t="s">
        <v>124</v>
      </c>
      <c r="E65" s="17" t="s">
        <v>364</v>
      </c>
      <c r="F65" s="17" t="s">
        <v>351</v>
      </c>
      <c r="G65" s="17" t="s">
        <v>365</v>
      </c>
      <c r="H65" s="17" t="s">
        <v>326</v>
      </c>
      <c r="I65" s="17"/>
      <c r="J65" s="17" t="s">
        <v>54</v>
      </c>
      <c r="K65" s="17" t="s">
        <v>54</v>
      </c>
      <c r="L65" s="17" t="s">
        <v>55</v>
      </c>
      <c r="M65" s="17" t="s">
        <v>55</v>
      </c>
      <c r="N65" s="17" t="s">
        <v>358</v>
      </c>
    </row>
    <row r="66" spans="1:14" x14ac:dyDescent="0.3">
      <c r="A66" s="17" t="s">
        <v>366</v>
      </c>
      <c r="B66" s="17" t="s">
        <v>308</v>
      </c>
      <c r="C66" s="17" t="s">
        <v>367</v>
      </c>
      <c r="D66" s="17" t="s">
        <v>184</v>
      </c>
      <c r="E66" s="17" t="s">
        <v>368</v>
      </c>
      <c r="F66" s="17" t="s">
        <v>351</v>
      </c>
      <c r="G66" s="17" t="s">
        <v>369</v>
      </c>
      <c r="H66" s="17" t="s">
        <v>330</v>
      </c>
      <c r="I66" s="17"/>
      <c r="J66" s="17" t="s">
        <v>54</v>
      </c>
      <c r="K66" s="17" t="s">
        <v>55</v>
      </c>
      <c r="L66" s="17" t="s">
        <v>56</v>
      </c>
      <c r="M66" s="17" t="s">
        <v>56</v>
      </c>
      <c r="N66" s="17" t="s">
        <v>358</v>
      </c>
    </row>
    <row r="67" spans="1:14" x14ac:dyDescent="0.3">
      <c r="A67" s="17" t="s">
        <v>370</v>
      </c>
      <c r="B67" s="17" t="s">
        <v>308</v>
      </c>
      <c r="C67" s="17" t="s">
        <v>367</v>
      </c>
      <c r="D67" s="17" t="s">
        <v>184</v>
      </c>
      <c r="E67" s="17" t="s">
        <v>371</v>
      </c>
      <c r="F67" s="17" t="s">
        <v>351</v>
      </c>
      <c r="G67" s="17" t="s">
        <v>372</v>
      </c>
      <c r="H67" s="17" t="s">
        <v>373</v>
      </c>
      <c r="I67" s="17"/>
      <c r="J67" s="17" t="s">
        <v>64</v>
      </c>
      <c r="K67" s="17" t="s">
        <v>54</v>
      </c>
      <c r="L67" s="17" t="s">
        <v>54</v>
      </c>
      <c r="M67" s="17" t="s">
        <v>54</v>
      </c>
      <c r="N67" s="17" t="s">
        <v>358</v>
      </c>
    </row>
    <row r="68" spans="1:14" x14ac:dyDescent="0.3">
      <c r="A68" s="17" t="s">
        <v>374</v>
      </c>
      <c r="B68" s="17" t="s">
        <v>308</v>
      </c>
      <c r="C68" s="17" t="s">
        <v>375</v>
      </c>
      <c r="D68" s="17" t="s">
        <v>228</v>
      </c>
      <c r="E68" s="17" t="s">
        <v>376</v>
      </c>
      <c r="F68" s="17" t="s">
        <v>351</v>
      </c>
      <c r="G68" s="17" t="s">
        <v>377</v>
      </c>
      <c r="H68" s="17" t="s">
        <v>378</v>
      </c>
      <c r="I68" s="17"/>
      <c r="J68" s="17" t="s">
        <v>54</v>
      </c>
      <c r="K68" s="17" t="s">
        <v>55</v>
      </c>
      <c r="L68" s="17" t="s">
        <v>55</v>
      </c>
      <c r="M68" s="17" t="s">
        <v>56</v>
      </c>
      <c r="N68" s="17" t="s">
        <v>358</v>
      </c>
    </row>
    <row r="69" spans="1:14" x14ac:dyDescent="0.3">
      <c r="A69" s="17" t="s">
        <v>379</v>
      </c>
      <c r="B69" s="17" t="s">
        <v>308</v>
      </c>
      <c r="C69" s="17" t="s">
        <v>380</v>
      </c>
      <c r="D69" s="17" t="s">
        <v>273</v>
      </c>
      <c r="E69" s="17" t="s">
        <v>381</v>
      </c>
      <c r="F69" s="17" t="s">
        <v>351</v>
      </c>
      <c r="G69" s="17" t="s">
        <v>382</v>
      </c>
      <c r="H69" s="17" t="s">
        <v>347</v>
      </c>
      <c r="I69" s="17"/>
      <c r="J69" s="17" t="s">
        <v>54</v>
      </c>
      <c r="K69" s="17" t="s">
        <v>55</v>
      </c>
      <c r="L69" s="17" t="s">
        <v>56</v>
      </c>
      <c r="M69" s="17" t="s">
        <v>56</v>
      </c>
      <c r="N69" s="17" t="s">
        <v>358</v>
      </c>
    </row>
    <row r="70" spans="1:14" x14ac:dyDescent="0.3">
      <c r="A70" s="17" t="s">
        <v>383</v>
      </c>
      <c r="B70" s="17" t="s">
        <v>308</v>
      </c>
      <c r="C70" s="17" t="s">
        <v>384</v>
      </c>
      <c r="D70" s="17" t="s">
        <v>49</v>
      </c>
      <c r="E70" s="17" t="s">
        <v>385</v>
      </c>
      <c r="F70" s="17" t="s">
        <v>386</v>
      </c>
      <c r="G70" s="17" t="s">
        <v>387</v>
      </c>
      <c r="H70" s="17" t="s">
        <v>388</v>
      </c>
      <c r="I70" s="17"/>
      <c r="J70" s="17" t="s">
        <v>54</v>
      </c>
      <c r="K70" s="17" t="s">
        <v>55</v>
      </c>
      <c r="L70" s="17" t="s">
        <v>55</v>
      </c>
      <c r="M70" s="17" t="s">
        <v>55</v>
      </c>
      <c r="N70" s="17" t="s">
        <v>389</v>
      </c>
    </row>
    <row r="71" spans="1:14" x14ac:dyDescent="0.3">
      <c r="A71" s="17" t="s">
        <v>390</v>
      </c>
      <c r="B71" s="17" t="s">
        <v>308</v>
      </c>
      <c r="C71" s="17" t="s">
        <v>384</v>
      </c>
      <c r="D71" s="17" t="s">
        <v>49</v>
      </c>
      <c r="E71" s="17" t="s">
        <v>391</v>
      </c>
      <c r="F71" s="17" t="s">
        <v>386</v>
      </c>
      <c r="G71" s="17" t="s">
        <v>392</v>
      </c>
      <c r="H71" s="17" t="s">
        <v>393</v>
      </c>
      <c r="I71" s="17"/>
      <c r="J71" s="17" t="s">
        <v>54</v>
      </c>
      <c r="K71" s="17" t="s">
        <v>55</v>
      </c>
      <c r="L71" s="17" t="s">
        <v>55</v>
      </c>
      <c r="M71" s="17" t="s">
        <v>55</v>
      </c>
      <c r="N71" s="17" t="s">
        <v>394</v>
      </c>
    </row>
    <row r="72" spans="1:14" x14ac:dyDescent="0.3">
      <c r="A72" s="17" t="s">
        <v>395</v>
      </c>
      <c r="B72" s="17" t="s">
        <v>308</v>
      </c>
      <c r="C72" s="17" t="s">
        <v>396</v>
      </c>
      <c r="D72" s="17" t="s">
        <v>124</v>
      </c>
      <c r="E72" s="17" t="s">
        <v>397</v>
      </c>
      <c r="F72" s="17" t="s">
        <v>386</v>
      </c>
      <c r="G72" s="17" t="s">
        <v>398</v>
      </c>
      <c r="H72" s="17" t="s">
        <v>399</v>
      </c>
      <c r="I72" s="17"/>
      <c r="J72" s="17" t="s">
        <v>54</v>
      </c>
      <c r="K72" s="17" t="s">
        <v>54</v>
      </c>
      <c r="L72" s="17" t="s">
        <v>55</v>
      </c>
      <c r="M72" s="17" t="s">
        <v>55</v>
      </c>
      <c r="N72" s="17" t="s">
        <v>394</v>
      </c>
    </row>
    <row r="73" spans="1:14" x14ac:dyDescent="0.3">
      <c r="A73" s="17" t="s">
        <v>400</v>
      </c>
      <c r="B73" s="17" t="s">
        <v>308</v>
      </c>
      <c r="C73" s="17" t="s">
        <v>401</v>
      </c>
      <c r="D73" s="17" t="s">
        <v>184</v>
      </c>
      <c r="E73" s="17" t="s">
        <v>402</v>
      </c>
      <c r="F73" s="17" t="s">
        <v>386</v>
      </c>
      <c r="G73" s="17" t="s">
        <v>403</v>
      </c>
      <c r="H73" s="17" t="s">
        <v>404</v>
      </c>
      <c r="I73" s="17"/>
      <c r="J73" s="17" t="s">
        <v>54</v>
      </c>
      <c r="K73" s="17" t="s">
        <v>54</v>
      </c>
      <c r="L73" s="17" t="s">
        <v>55</v>
      </c>
      <c r="M73" s="17" t="s">
        <v>55</v>
      </c>
      <c r="N73" s="17" t="s">
        <v>394</v>
      </c>
    </row>
    <row r="74" spans="1:14" x14ac:dyDescent="0.3">
      <c r="A74" s="17" t="s">
        <v>405</v>
      </c>
      <c r="B74" s="17" t="s">
        <v>308</v>
      </c>
      <c r="C74" s="17" t="s">
        <v>406</v>
      </c>
      <c r="D74" s="17" t="s">
        <v>243</v>
      </c>
      <c r="E74" s="17" t="s">
        <v>407</v>
      </c>
      <c r="F74" s="17" t="s">
        <v>386</v>
      </c>
      <c r="G74" s="17" t="s">
        <v>408</v>
      </c>
      <c r="H74" s="17" t="s">
        <v>409</v>
      </c>
      <c r="I74" s="17"/>
      <c r="J74" s="17" t="s">
        <v>54</v>
      </c>
      <c r="K74" s="17" t="s">
        <v>55</v>
      </c>
      <c r="L74" s="17" t="s">
        <v>56</v>
      </c>
      <c r="M74" s="17" t="s">
        <v>57</v>
      </c>
      <c r="N74" s="17" t="s">
        <v>394</v>
      </c>
    </row>
    <row r="75" spans="1:14" ht="22.8" x14ac:dyDescent="0.3">
      <c r="A75" s="17" t="s">
        <v>410</v>
      </c>
      <c r="B75" s="17" t="s">
        <v>308</v>
      </c>
      <c r="C75" s="17" t="s">
        <v>406</v>
      </c>
      <c r="D75" s="17" t="s">
        <v>243</v>
      </c>
      <c r="E75" s="17" t="s">
        <v>411</v>
      </c>
      <c r="F75" s="17" t="s">
        <v>386</v>
      </c>
      <c r="G75" s="17" t="s">
        <v>412</v>
      </c>
      <c r="H75" s="17" t="s">
        <v>413</v>
      </c>
      <c r="I75" s="17"/>
      <c r="J75" s="17" t="s">
        <v>54</v>
      </c>
      <c r="K75" s="17" t="s">
        <v>55</v>
      </c>
      <c r="L75" s="17" t="s">
        <v>57</v>
      </c>
      <c r="M75" s="17" t="s">
        <v>57</v>
      </c>
      <c r="N75" s="17" t="s">
        <v>394</v>
      </c>
    </row>
    <row r="76" spans="1:14" ht="22.8" x14ac:dyDescent="0.3">
      <c r="A76" s="17" t="s">
        <v>414</v>
      </c>
      <c r="B76" s="17" t="s">
        <v>308</v>
      </c>
      <c r="C76" s="17" t="s">
        <v>406</v>
      </c>
      <c r="D76" s="17" t="s">
        <v>243</v>
      </c>
      <c r="E76" s="17" t="s">
        <v>415</v>
      </c>
      <c r="F76" s="17" t="s">
        <v>386</v>
      </c>
      <c r="G76" s="17" t="s">
        <v>416</v>
      </c>
      <c r="H76" s="17" t="s">
        <v>417</v>
      </c>
      <c r="I76" s="17"/>
      <c r="J76" s="17" t="s">
        <v>54</v>
      </c>
      <c r="K76" s="17" t="s">
        <v>54</v>
      </c>
      <c r="L76" s="17" t="s">
        <v>55</v>
      </c>
      <c r="M76" s="17" t="s">
        <v>55</v>
      </c>
      <c r="N76" s="17" t="s">
        <v>394</v>
      </c>
    </row>
    <row r="77" spans="1:14" x14ac:dyDescent="0.3">
      <c r="A77" s="17" t="s">
        <v>418</v>
      </c>
      <c r="B77" s="17" t="s">
        <v>308</v>
      </c>
      <c r="C77" s="17" t="s">
        <v>419</v>
      </c>
      <c r="D77" s="17" t="s">
        <v>49</v>
      </c>
      <c r="E77" s="17" t="s">
        <v>420</v>
      </c>
      <c r="F77" s="17" t="s">
        <v>421</v>
      </c>
      <c r="G77" s="17" t="s">
        <v>422</v>
      </c>
      <c r="H77" s="17" t="s">
        <v>312</v>
      </c>
      <c r="I77" s="17"/>
      <c r="J77" s="17" t="s">
        <v>54</v>
      </c>
      <c r="K77" s="17" t="s">
        <v>55</v>
      </c>
      <c r="L77" s="17" t="s">
        <v>56</v>
      </c>
      <c r="M77" s="17" t="s">
        <v>57</v>
      </c>
      <c r="N77" s="17" t="s">
        <v>423</v>
      </c>
    </row>
    <row r="78" spans="1:14" ht="22.8" x14ac:dyDescent="0.3">
      <c r="A78" s="17" t="s">
        <v>424</v>
      </c>
      <c r="B78" s="17" t="s">
        <v>308</v>
      </c>
      <c r="C78" s="17" t="s">
        <v>425</v>
      </c>
      <c r="D78" s="17" t="s">
        <v>124</v>
      </c>
      <c r="E78" s="17" t="s">
        <v>426</v>
      </c>
      <c r="F78" s="17" t="s">
        <v>421</v>
      </c>
      <c r="G78" s="17" t="s">
        <v>427</v>
      </c>
      <c r="H78" s="17" t="s">
        <v>322</v>
      </c>
      <c r="I78" s="17"/>
      <c r="J78" s="17" t="s">
        <v>54</v>
      </c>
      <c r="K78" s="17" t="s">
        <v>56</v>
      </c>
      <c r="L78" s="17" t="s">
        <v>57</v>
      </c>
      <c r="M78" s="17" t="s">
        <v>128</v>
      </c>
      <c r="N78" s="17" t="s">
        <v>428</v>
      </c>
    </row>
    <row r="79" spans="1:14" x14ac:dyDescent="0.3">
      <c r="A79" s="17" t="s">
        <v>429</v>
      </c>
      <c r="B79" s="17" t="s">
        <v>308</v>
      </c>
      <c r="C79" s="17" t="s">
        <v>425</v>
      </c>
      <c r="D79" s="17" t="s">
        <v>124</v>
      </c>
      <c r="E79" s="17" t="s">
        <v>430</v>
      </c>
      <c r="F79" s="17" t="s">
        <v>421</v>
      </c>
      <c r="G79" s="17" t="s">
        <v>431</v>
      </c>
      <c r="H79" s="17" t="s">
        <v>432</v>
      </c>
      <c r="I79" s="17"/>
      <c r="J79" s="17" t="s">
        <v>54</v>
      </c>
      <c r="K79" s="17" t="s">
        <v>54</v>
      </c>
      <c r="L79" s="17" t="s">
        <v>55</v>
      </c>
      <c r="M79" s="17" t="s">
        <v>55</v>
      </c>
      <c r="N79" s="17" t="s">
        <v>428</v>
      </c>
    </row>
    <row r="80" spans="1:14" x14ac:dyDescent="0.3">
      <c r="A80" s="17" t="s">
        <v>433</v>
      </c>
      <c r="B80" s="17" t="s">
        <v>308</v>
      </c>
      <c r="C80" s="17" t="s">
        <v>434</v>
      </c>
      <c r="D80" s="17" t="s">
        <v>184</v>
      </c>
      <c r="E80" s="17" t="s">
        <v>435</v>
      </c>
      <c r="F80" s="17" t="s">
        <v>421</v>
      </c>
      <c r="G80" s="17" t="s">
        <v>436</v>
      </c>
      <c r="H80" s="17" t="s">
        <v>334</v>
      </c>
      <c r="I80" s="17"/>
      <c r="J80" s="17" t="s">
        <v>54</v>
      </c>
      <c r="K80" s="17" t="s">
        <v>54</v>
      </c>
      <c r="L80" s="17" t="s">
        <v>54</v>
      </c>
      <c r="M80" s="17" t="s">
        <v>54</v>
      </c>
      <c r="N80" s="17" t="s">
        <v>428</v>
      </c>
    </row>
    <row r="81" spans="1:14" x14ac:dyDescent="0.3">
      <c r="A81" s="17" t="s">
        <v>437</v>
      </c>
      <c r="B81" s="17" t="s">
        <v>308</v>
      </c>
      <c r="C81" s="17" t="s">
        <v>434</v>
      </c>
      <c r="D81" s="17" t="s">
        <v>184</v>
      </c>
      <c r="E81" s="17" t="s">
        <v>438</v>
      </c>
      <c r="F81" s="17" t="s">
        <v>421</v>
      </c>
      <c r="G81" s="17" t="s">
        <v>439</v>
      </c>
      <c r="H81" s="17" t="s">
        <v>440</v>
      </c>
      <c r="I81" s="17"/>
      <c r="J81" s="17" t="s">
        <v>64</v>
      </c>
      <c r="K81" s="17" t="s">
        <v>54</v>
      </c>
      <c r="L81" s="17" t="s">
        <v>54</v>
      </c>
      <c r="M81" s="17" t="s">
        <v>54</v>
      </c>
      <c r="N81" s="17" t="s">
        <v>428</v>
      </c>
    </row>
    <row r="82" spans="1:14" x14ac:dyDescent="0.3">
      <c r="A82" s="17" t="s">
        <v>441</v>
      </c>
      <c r="B82" s="17" t="s">
        <v>308</v>
      </c>
      <c r="C82" s="17" t="s">
        <v>434</v>
      </c>
      <c r="D82" s="17" t="s">
        <v>184</v>
      </c>
      <c r="E82" s="17" t="s">
        <v>442</v>
      </c>
      <c r="F82" s="17" t="s">
        <v>421</v>
      </c>
      <c r="G82" s="17" t="s">
        <v>443</v>
      </c>
      <c r="H82" s="17" t="s">
        <v>444</v>
      </c>
      <c r="I82" s="17"/>
      <c r="J82" s="17" t="s">
        <v>64</v>
      </c>
      <c r="K82" s="17" t="s">
        <v>54</v>
      </c>
      <c r="L82" s="17" t="s">
        <v>56</v>
      </c>
      <c r="M82" s="17" t="s">
        <v>57</v>
      </c>
      <c r="N82" s="17" t="s">
        <v>428</v>
      </c>
    </row>
    <row r="83" spans="1:14" ht="22.8" x14ac:dyDescent="0.3">
      <c r="A83" s="17" t="s">
        <v>445</v>
      </c>
      <c r="B83" s="17" t="s">
        <v>26</v>
      </c>
      <c r="C83" s="17" t="s">
        <v>446</v>
      </c>
      <c r="D83" s="17" t="s">
        <v>447</v>
      </c>
      <c r="E83" s="17" t="s">
        <v>448</v>
      </c>
      <c r="F83" s="17" t="s">
        <v>449</v>
      </c>
      <c r="G83" s="17" t="s">
        <v>450</v>
      </c>
      <c r="H83" s="17"/>
      <c r="I83" s="17"/>
      <c r="J83" s="17" t="s">
        <v>54</v>
      </c>
      <c r="K83" s="17" t="s">
        <v>54</v>
      </c>
      <c r="L83" s="17" t="s">
        <v>54</v>
      </c>
      <c r="M83" s="17" t="s">
        <v>54</v>
      </c>
      <c r="N83" s="17" t="s">
        <v>451</v>
      </c>
    </row>
    <row r="84" spans="1:14" ht="22.8" x14ac:dyDescent="0.3">
      <c r="A84" s="17" t="s">
        <v>452</v>
      </c>
      <c r="B84" s="17" t="s">
        <v>26</v>
      </c>
      <c r="C84" s="17" t="s">
        <v>453</v>
      </c>
      <c r="D84" s="17" t="s">
        <v>447</v>
      </c>
      <c r="E84" s="17" t="s">
        <v>454</v>
      </c>
      <c r="F84" s="17" t="s">
        <v>449</v>
      </c>
      <c r="G84" s="17" t="s">
        <v>455</v>
      </c>
      <c r="H84" s="17"/>
      <c r="I84" s="17"/>
      <c r="J84" s="17" t="s">
        <v>54</v>
      </c>
      <c r="K84" s="17" t="s">
        <v>54</v>
      </c>
      <c r="L84" s="17" t="s">
        <v>54</v>
      </c>
      <c r="M84" s="17" t="s">
        <v>54</v>
      </c>
      <c r="N84" s="17" t="s">
        <v>451</v>
      </c>
    </row>
    <row r="85" spans="1:14" ht="22.8" x14ac:dyDescent="0.3">
      <c r="A85" s="17" t="s">
        <v>456</v>
      </c>
      <c r="B85" s="17" t="s">
        <v>26</v>
      </c>
      <c r="C85" s="17" t="s">
        <v>457</v>
      </c>
      <c r="D85" s="17" t="s">
        <v>447</v>
      </c>
      <c r="E85" s="17" t="s">
        <v>458</v>
      </c>
      <c r="F85" s="17" t="s">
        <v>449</v>
      </c>
      <c r="G85" s="17" t="s">
        <v>459</v>
      </c>
      <c r="H85" s="17"/>
      <c r="I85" s="17"/>
      <c r="J85" s="17" t="s">
        <v>54</v>
      </c>
      <c r="K85" s="17" t="s">
        <v>54</v>
      </c>
      <c r="L85" s="17" t="s">
        <v>54</v>
      </c>
      <c r="M85" s="17" t="s">
        <v>54</v>
      </c>
      <c r="N85" s="17" t="s">
        <v>451</v>
      </c>
    </row>
    <row r="86" spans="1:14" ht="22.8" x14ac:dyDescent="0.3">
      <c r="A86" s="17" t="s">
        <v>460</v>
      </c>
      <c r="B86" s="17" t="s">
        <v>26</v>
      </c>
      <c r="C86" s="17" t="s">
        <v>461</v>
      </c>
      <c r="D86" s="17" t="s">
        <v>447</v>
      </c>
      <c r="E86" s="17" t="s">
        <v>462</v>
      </c>
      <c r="F86" s="17" t="s">
        <v>449</v>
      </c>
      <c r="G86" s="17" t="s">
        <v>463</v>
      </c>
      <c r="H86" s="17"/>
      <c r="I86" s="17"/>
      <c r="J86" s="17" t="s">
        <v>54</v>
      </c>
      <c r="K86" s="17" t="s">
        <v>54</v>
      </c>
      <c r="L86" s="17" t="s">
        <v>54</v>
      </c>
      <c r="M86" s="17" t="s">
        <v>54</v>
      </c>
      <c r="N86" s="17" t="s">
        <v>451</v>
      </c>
    </row>
    <row r="87" spans="1:14" ht="22.8" x14ac:dyDescent="0.3">
      <c r="A87" s="17" t="s">
        <v>464</v>
      </c>
      <c r="B87" s="17" t="s">
        <v>26</v>
      </c>
      <c r="C87" s="17" t="s">
        <v>465</v>
      </c>
      <c r="D87" s="17" t="s">
        <v>447</v>
      </c>
      <c r="E87" s="17" t="s">
        <v>466</v>
      </c>
      <c r="F87" s="17" t="s">
        <v>449</v>
      </c>
      <c r="G87" s="17" t="s">
        <v>467</v>
      </c>
      <c r="H87" s="17"/>
      <c r="I87" s="17"/>
      <c r="J87" s="17" t="s">
        <v>54</v>
      </c>
      <c r="K87" s="17" t="s">
        <v>54</v>
      </c>
      <c r="L87" s="17" t="s">
        <v>54</v>
      </c>
      <c r="M87" s="17" t="s">
        <v>54</v>
      </c>
      <c r="N87" s="17" t="s">
        <v>451</v>
      </c>
    </row>
    <row r="88" spans="1:14" ht="22.8" x14ac:dyDescent="0.3">
      <c r="A88" s="17" t="s">
        <v>468</v>
      </c>
      <c r="B88" s="17" t="s">
        <v>26</v>
      </c>
      <c r="C88" s="17" t="s">
        <v>469</v>
      </c>
      <c r="D88" s="17" t="s">
        <v>447</v>
      </c>
      <c r="E88" s="17" t="s">
        <v>470</v>
      </c>
      <c r="F88" s="17" t="s">
        <v>449</v>
      </c>
      <c r="G88" s="17" t="s">
        <v>471</v>
      </c>
      <c r="H88" s="17"/>
      <c r="I88" s="17"/>
      <c r="J88" s="17" t="s">
        <v>54</v>
      </c>
      <c r="K88" s="17" t="s">
        <v>54</v>
      </c>
      <c r="L88" s="17" t="s">
        <v>54</v>
      </c>
      <c r="M88" s="17" t="s">
        <v>54</v>
      </c>
      <c r="N88" s="17" t="s">
        <v>451</v>
      </c>
    </row>
    <row r="89" spans="1:14" ht="22.8" x14ac:dyDescent="0.3">
      <c r="A89" s="17" t="s">
        <v>472</v>
      </c>
      <c r="B89" s="17" t="s">
        <v>26</v>
      </c>
      <c r="C89" s="17" t="s">
        <v>473</v>
      </c>
      <c r="D89" s="17" t="s">
        <v>447</v>
      </c>
      <c r="E89" s="17" t="s">
        <v>474</v>
      </c>
      <c r="F89" s="17" t="s">
        <v>449</v>
      </c>
      <c r="G89" s="17" t="s">
        <v>475</v>
      </c>
      <c r="H89" s="17"/>
      <c r="I89" s="17"/>
      <c r="J89" s="17" t="s">
        <v>54</v>
      </c>
      <c r="K89" s="17" t="s">
        <v>54</v>
      </c>
      <c r="L89" s="17" t="s">
        <v>54</v>
      </c>
      <c r="M89" s="17" t="s">
        <v>54</v>
      </c>
      <c r="N89" s="17" t="s">
        <v>451</v>
      </c>
    </row>
    <row r="90" spans="1:14" ht="22.8" x14ac:dyDescent="0.3">
      <c r="A90" s="17" t="s">
        <v>476</v>
      </c>
      <c r="B90" s="17" t="s">
        <v>26</v>
      </c>
      <c r="C90" s="17" t="s">
        <v>477</v>
      </c>
      <c r="D90" s="17" t="s">
        <v>447</v>
      </c>
      <c r="E90" s="17" t="s">
        <v>478</v>
      </c>
      <c r="F90" s="17" t="s">
        <v>449</v>
      </c>
      <c r="G90" s="17" t="s">
        <v>479</v>
      </c>
      <c r="H90" s="17"/>
      <c r="I90" s="17"/>
      <c r="J90" s="17" t="s">
        <v>54</v>
      </c>
      <c r="K90" s="17" t="s">
        <v>54</v>
      </c>
      <c r="L90" s="17" t="s">
        <v>54</v>
      </c>
      <c r="M90" s="17" t="s">
        <v>54</v>
      </c>
      <c r="N90" s="17" t="s">
        <v>451</v>
      </c>
    </row>
    <row r="91" spans="1:14" ht="22.8" x14ac:dyDescent="0.3">
      <c r="A91" s="17" t="s">
        <v>480</v>
      </c>
      <c r="B91" s="17" t="s">
        <v>26</v>
      </c>
      <c r="C91" s="17" t="s">
        <v>481</v>
      </c>
      <c r="D91" s="17" t="s">
        <v>447</v>
      </c>
      <c r="E91" s="17" t="s">
        <v>482</v>
      </c>
      <c r="F91" s="17" t="s">
        <v>449</v>
      </c>
      <c r="G91" s="17" t="s">
        <v>483</v>
      </c>
      <c r="H91" s="17"/>
      <c r="I91" s="17"/>
      <c r="J91" s="17" t="s">
        <v>54</v>
      </c>
      <c r="K91" s="17" t="s">
        <v>54</v>
      </c>
      <c r="L91" s="17" t="s">
        <v>54</v>
      </c>
      <c r="M91" s="17" t="s">
        <v>54</v>
      </c>
      <c r="N91" s="17" t="s">
        <v>451</v>
      </c>
    </row>
    <row r="92" spans="1:14" ht="22.8" x14ac:dyDescent="0.3">
      <c r="A92" s="17" t="s">
        <v>484</v>
      </c>
      <c r="B92" s="17" t="s">
        <v>26</v>
      </c>
      <c r="C92" s="17" t="s">
        <v>485</v>
      </c>
      <c r="D92" s="17" t="s">
        <v>447</v>
      </c>
      <c r="E92" s="17" t="s">
        <v>486</v>
      </c>
      <c r="F92" s="17" t="s">
        <v>449</v>
      </c>
      <c r="G92" s="17" t="s">
        <v>487</v>
      </c>
      <c r="H92" s="17"/>
      <c r="I92" s="17"/>
      <c r="J92" s="17" t="s">
        <v>54</v>
      </c>
      <c r="K92" s="17" t="s">
        <v>54</v>
      </c>
      <c r="L92" s="17" t="s">
        <v>54</v>
      </c>
      <c r="M92" s="17" t="s">
        <v>54</v>
      </c>
      <c r="N92" s="17" t="s">
        <v>451</v>
      </c>
    </row>
    <row r="93" spans="1:14" ht="22.8" x14ac:dyDescent="0.3">
      <c r="A93" s="17" t="s">
        <v>488</v>
      </c>
      <c r="B93" s="17" t="s">
        <v>26</v>
      </c>
      <c r="C93" s="17" t="s">
        <v>489</v>
      </c>
      <c r="D93" s="17" t="s">
        <v>447</v>
      </c>
      <c r="E93" s="17" t="s">
        <v>490</v>
      </c>
      <c r="F93" s="17" t="s">
        <v>449</v>
      </c>
      <c r="G93" s="17" t="s">
        <v>491</v>
      </c>
      <c r="H93" s="17"/>
      <c r="I93" s="17"/>
      <c r="J93" s="17" t="s">
        <v>54</v>
      </c>
      <c r="K93" s="17" t="s">
        <v>54</v>
      </c>
      <c r="L93" s="17" t="s">
        <v>54</v>
      </c>
      <c r="M93" s="17" t="s">
        <v>54</v>
      </c>
      <c r="N93" s="17" t="s">
        <v>451</v>
      </c>
    </row>
    <row r="94" spans="1:14" ht="22.8" x14ac:dyDescent="0.3">
      <c r="A94" s="17" t="s">
        <v>492</v>
      </c>
      <c r="B94" s="17" t="s">
        <v>26</v>
      </c>
      <c r="C94" s="17" t="s">
        <v>493</v>
      </c>
      <c r="D94" s="17" t="s">
        <v>447</v>
      </c>
      <c r="E94" s="17" t="s">
        <v>494</v>
      </c>
      <c r="F94" s="17" t="s">
        <v>449</v>
      </c>
      <c r="G94" s="17" t="s">
        <v>495</v>
      </c>
      <c r="H94" s="17"/>
      <c r="I94" s="17"/>
      <c r="J94" s="17" t="s">
        <v>54</v>
      </c>
      <c r="K94" s="17" t="s">
        <v>54</v>
      </c>
      <c r="L94" s="17" t="s">
        <v>54</v>
      </c>
      <c r="M94" s="17" t="s">
        <v>54</v>
      </c>
      <c r="N94" s="17" t="s">
        <v>451</v>
      </c>
    </row>
    <row r="95" spans="1:14" ht="22.8" x14ac:dyDescent="0.3">
      <c r="A95" s="17" t="s">
        <v>496</v>
      </c>
      <c r="B95" s="17" t="s">
        <v>26</v>
      </c>
      <c r="C95" s="17" t="s">
        <v>497</v>
      </c>
      <c r="D95" s="17" t="s">
        <v>447</v>
      </c>
      <c r="E95" s="17" t="s">
        <v>498</v>
      </c>
      <c r="F95" s="17" t="s">
        <v>449</v>
      </c>
      <c r="G95" s="17" t="s">
        <v>499</v>
      </c>
      <c r="H95" s="17"/>
      <c r="I95" s="17"/>
      <c r="J95" s="17" t="s">
        <v>54</v>
      </c>
      <c r="K95" s="17" t="s">
        <v>54</v>
      </c>
      <c r="L95" s="17" t="s">
        <v>54</v>
      </c>
      <c r="M95" s="17" t="s">
        <v>54</v>
      </c>
      <c r="N95" s="17" t="s">
        <v>451</v>
      </c>
    </row>
    <row r="96" spans="1:14" ht="22.8" x14ac:dyDescent="0.3">
      <c r="A96" s="17" t="s">
        <v>500</v>
      </c>
      <c r="B96" s="17" t="s">
        <v>26</v>
      </c>
      <c r="C96" s="17" t="s">
        <v>501</v>
      </c>
      <c r="D96" s="17" t="s">
        <v>447</v>
      </c>
      <c r="E96" s="17" t="s">
        <v>502</v>
      </c>
      <c r="F96" s="17" t="s">
        <v>449</v>
      </c>
      <c r="G96" s="17" t="s">
        <v>503</v>
      </c>
      <c r="H96" s="17"/>
      <c r="I96" s="17"/>
      <c r="J96" s="17" t="s">
        <v>54</v>
      </c>
      <c r="K96" s="17" t="s">
        <v>54</v>
      </c>
      <c r="L96" s="17" t="s">
        <v>54</v>
      </c>
      <c r="M96" s="17" t="s">
        <v>54</v>
      </c>
      <c r="N96" s="17" t="s">
        <v>451</v>
      </c>
    </row>
    <row r="97" spans="1:14" ht="22.8" x14ac:dyDescent="0.3">
      <c r="A97" s="17" t="s">
        <v>504</v>
      </c>
      <c r="B97" s="17" t="s">
        <v>26</v>
      </c>
      <c r="C97" s="17" t="s">
        <v>505</v>
      </c>
      <c r="D97" s="17" t="s">
        <v>447</v>
      </c>
      <c r="E97" s="17" t="s">
        <v>506</v>
      </c>
      <c r="F97" s="17" t="s">
        <v>449</v>
      </c>
      <c r="G97" s="17" t="s">
        <v>507</v>
      </c>
      <c r="H97" s="17"/>
      <c r="I97" s="17"/>
      <c r="J97" s="17" t="s">
        <v>54</v>
      </c>
      <c r="K97" s="17" t="s">
        <v>54</v>
      </c>
      <c r="L97" s="17" t="s">
        <v>54</v>
      </c>
      <c r="M97" s="17" t="s">
        <v>54</v>
      </c>
      <c r="N97" s="17" t="s">
        <v>451</v>
      </c>
    </row>
    <row r="98" spans="1:14" ht="22.8" x14ac:dyDescent="0.3">
      <c r="A98" s="17" t="s">
        <v>508</v>
      </c>
      <c r="B98" s="17" t="s">
        <v>26</v>
      </c>
      <c r="C98" s="17" t="s">
        <v>509</v>
      </c>
      <c r="D98" s="17" t="s">
        <v>447</v>
      </c>
      <c r="E98" s="17" t="s">
        <v>510</v>
      </c>
      <c r="F98" s="17" t="s">
        <v>449</v>
      </c>
      <c r="G98" s="17" t="s">
        <v>511</v>
      </c>
      <c r="H98" s="17"/>
      <c r="I98" s="17"/>
      <c r="J98" s="17" t="s">
        <v>54</v>
      </c>
      <c r="K98" s="17" t="s">
        <v>54</v>
      </c>
      <c r="L98" s="17" t="s">
        <v>54</v>
      </c>
      <c r="M98" s="17" t="s">
        <v>54</v>
      </c>
      <c r="N98" s="17" t="s">
        <v>451</v>
      </c>
    </row>
    <row r="99" spans="1:14" ht="22.8" x14ac:dyDescent="0.3">
      <c r="A99" s="17" t="s">
        <v>512</v>
      </c>
      <c r="B99" s="17" t="s">
        <v>26</v>
      </c>
      <c r="C99" s="17" t="s">
        <v>513</v>
      </c>
      <c r="D99" s="17" t="s">
        <v>447</v>
      </c>
      <c r="E99" s="17" t="s">
        <v>514</v>
      </c>
      <c r="F99" s="17" t="s">
        <v>449</v>
      </c>
      <c r="G99" s="17" t="s">
        <v>515</v>
      </c>
      <c r="H99" s="17"/>
      <c r="I99" s="17"/>
      <c r="J99" s="17" t="s">
        <v>54</v>
      </c>
      <c r="K99" s="17" t="s">
        <v>54</v>
      </c>
      <c r="L99" s="17" t="s">
        <v>54</v>
      </c>
      <c r="M99" s="17" t="s">
        <v>54</v>
      </c>
      <c r="N99" s="17" t="s">
        <v>451</v>
      </c>
    </row>
    <row r="100" spans="1:14" ht="22.8" x14ac:dyDescent="0.3">
      <c r="A100" s="17" t="s">
        <v>516</v>
      </c>
      <c r="B100" s="17" t="s">
        <v>26</v>
      </c>
      <c r="C100" s="17" t="s">
        <v>517</v>
      </c>
      <c r="D100" s="17" t="s">
        <v>447</v>
      </c>
      <c r="E100" s="17" t="s">
        <v>518</v>
      </c>
      <c r="F100" s="17" t="s">
        <v>449</v>
      </c>
      <c r="G100" s="17" t="s">
        <v>519</v>
      </c>
      <c r="H100" s="17"/>
      <c r="I100" s="17"/>
      <c r="J100" s="17" t="s">
        <v>54</v>
      </c>
      <c r="K100" s="17" t="s">
        <v>54</v>
      </c>
      <c r="L100" s="17" t="s">
        <v>54</v>
      </c>
      <c r="M100" s="17" t="s">
        <v>54</v>
      </c>
      <c r="N100" s="17" t="s">
        <v>451</v>
      </c>
    </row>
    <row r="101" spans="1:14" ht="22.8" x14ac:dyDescent="0.3">
      <c r="A101" s="17" t="s">
        <v>520</v>
      </c>
      <c r="B101" s="17" t="s">
        <v>26</v>
      </c>
      <c r="C101" s="17" t="s">
        <v>521</v>
      </c>
      <c r="D101" s="17" t="s">
        <v>447</v>
      </c>
      <c r="E101" s="17" t="s">
        <v>522</v>
      </c>
      <c r="F101" s="17" t="s">
        <v>449</v>
      </c>
      <c r="G101" s="17" t="s">
        <v>523</v>
      </c>
      <c r="H101" s="17"/>
      <c r="I101" s="17"/>
      <c r="J101" s="17" t="s">
        <v>54</v>
      </c>
      <c r="K101" s="17" t="s">
        <v>54</v>
      </c>
      <c r="L101" s="17" t="s">
        <v>54</v>
      </c>
      <c r="M101" s="17" t="s">
        <v>54</v>
      </c>
      <c r="N101" s="17" t="s">
        <v>451</v>
      </c>
    </row>
    <row r="102" spans="1:14" ht="22.8" x14ac:dyDescent="0.3">
      <c r="A102" s="17" t="s">
        <v>524</v>
      </c>
      <c r="B102" s="17" t="s">
        <v>26</v>
      </c>
      <c r="C102" s="17" t="s">
        <v>525</v>
      </c>
      <c r="D102" s="17" t="s">
        <v>447</v>
      </c>
      <c r="E102" s="17" t="s">
        <v>526</v>
      </c>
      <c r="F102" s="17" t="s">
        <v>449</v>
      </c>
      <c r="G102" s="17" t="s">
        <v>527</v>
      </c>
      <c r="H102" s="17"/>
      <c r="I102" s="17"/>
      <c r="J102" s="17" t="s">
        <v>54</v>
      </c>
      <c r="K102" s="17" t="s">
        <v>54</v>
      </c>
      <c r="L102" s="17" t="s">
        <v>54</v>
      </c>
      <c r="M102" s="17" t="s">
        <v>54</v>
      </c>
      <c r="N102" s="17" t="s">
        <v>451</v>
      </c>
    </row>
  </sheetData>
  <autoFilter ref="A1:N102"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E85"/>
  <sheetViews>
    <sheetView zoomScaleNormal="100" workbookViewId="0">
      <pane ySplit="1" topLeftCell="A2" activePane="bottomLeft" state="frozen"/>
      <selection pane="bottomLeft" activeCell="E47" sqref="E47"/>
    </sheetView>
  </sheetViews>
  <sheetFormatPr defaultColWidth="8.6640625" defaultRowHeight="14.4" x14ac:dyDescent="0.3"/>
  <cols>
    <col min="1" max="1" width="10" customWidth="1"/>
    <col min="2" max="3" width="40" customWidth="1"/>
    <col min="4" max="4" width="60" customWidth="1"/>
    <col min="5" max="5" width="50" customWidth="1"/>
  </cols>
  <sheetData>
    <row r="1" spans="1:5" ht="26.4" x14ac:dyDescent="0.3">
      <c r="A1" s="18" t="s">
        <v>528</v>
      </c>
      <c r="B1" s="18" t="s">
        <v>529</v>
      </c>
      <c r="C1" s="18" t="s">
        <v>530</v>
      </c>
      <c r="D1" s="18" t="s">
        <v>531</v>
      </c>
      <c r="E1" s="18" t="s">
        <v>532</v>
      </c>
    </row>
    <row r="2" spans="1:5" x14ac:dyDescent="0.3">
      <c r="A2" s="17" t="s">
        <v>533</v>
      </c>
      <c r="B2" s="17" t="s">
        <v>534</v>
      </c>
      <c r="C2" s="17" t="s">
        <v>535</v>
      </c>
      <c r="D2" s="17" t="s">
        <v>536</v>
      </c>
      <c r="E2" s="17" t="s">
        <v>537</v>
      </c>
    </row>
    <row r="3" spans="1:5" x14ac:dyDescent="0.3">
      <c r="A3" s="17" t="s">
        <v>538</v>
      </c>
      <c r="B3" s="17" t="s">
        <v>539</v>
      </c>
      <c r="C3" s="17" t="s">
        <v>540</v>
      </c>
      <c r="D3" s="17" t="s">
        <v>541</v>
      </c>
      <c r="E3" s="17" t="s">
        <v>542</v>
      </c>
    </row>
    <row r="4" spans="1:5" x14ac:dyDescent="0.3">
      <c r="A4" s="17" t="s">
        <v>543</v>
      </c>
      <c r="B4" s="17" t="s">
        <v>544</v>
      </c>
      <c r="C4" s="17" t="s">
        <v>540</v>
      </c>
      <c r="D4" s="17" t="s">
        <v>545</v>
      </c>
      <c r="E4" s="17" t="s">
        <v>546</v>
      </c>
    </row>
    <row r="5" spans="1:5" x14ac:dyDescent="0.3">
      <c r="A5" s="17" t="s">
        <v>547</v>
      </c>
      <c r="B5" s="17" t="s">
        <v>548</v>
      </c>
      <c r="C5" s="17" t="s">
        <v>535</v>
      </c>
      <c r="D5" s="17" t="s">
        <v>549</v>
      </c>
      <c r="E5" s="17" t="s">
        <v>550</v>
      </c>
    </row>
    <row r="6" spans="1:5" x14ac:dyDescent="0.3">
      <c r="A6" s="17" t="s">
        <v>551</v>
      </c>
      <c r="B6" s="17" t="s">
        <v>552</v>
      </c>
      <c r="C6" s="17" t="s">
        <v>535</v>
      </c>
      <c r="D6" s="17" t="s">
        <v>553</v>
      </c>
      <c r="E6" s="17" t="s">
        <v>554</v>
      </c>
    </row>
    <row r="7" spans="1:5" x14ac:dyDescent="0.3">
      <c r="A7" s="17" t="s">
        <v>555</v>
      </c>
      <c r="B7" s="17" t="s">
        <v>556</v>
      </c>
      <c r="C7" s="17" t="s">
        <v>535</v>
      </c>
      <c r="D7" s="17" t="s">
        <v>557</v>
      </c>
      <c r="E7" s="17" t="s">
        <v>558</v>
      </c>
    </row>
    <row r="8" spans="1:5" x14ac:dyDescent="0.3">
      <c r="A8" s="17" t="s">
        <v>559</v>
      </c>
      <c r="B8" s="17" t="s">
        <v>560</v>
      </c>
      <c r="C8" s="17" t="s">
        <v>561</v>
      </c>
      <c r="D8" s="17" t="s">
        <v>562</v>
      </c>
      <c r="E8" s="17" t="s">
        <v>563</v>
      </c>
    </row>
    <row r="9" spans="1:5" x14ac:dyDescent="0.3">
      <c r="A9" s="17" t="s">
        <v>564</v>
      </c>
      <c r="B9" s="17" t="s">
        <v>565</v>
      </c>
      <c r="C9" s="17" t="s">
        <v>566</v>
      </c>
      <c r="D9" s="17" t="s">
        <v>567</v>
      </c>
      <c r="E9" s="17" t="s">
        <v>568</v>
      </c>
    </row>
    <row r="10" spans="1:5" x14ac:dyDescent="0.3">
      <c r="A10" s="17" t="s">
        <v>569</v>
      </c>
      <c r="B10" s="17" t="s">
        <v>570</v>
      </c>
      <c r="C10" s="17" t="s">
        <v>535</v>
      </c>
      <c r="D10" s="17" t="s">
        <v>571</v>
      </c>
      <c r="E10" s="17" t="s">
        <v>572</v>
      </c>
    </row>
    <row r="11" spans="1:5" x14ac:dyDescent="0.3">
      <c r="A11" s="17" t="s">
        <v>573</v>
      </c>
      <c r="B11" s="17" t="s">
        <v>574</v>
      </c>
      <c r="C11" s="17" t="s">
        <v>540</v>
      </c>
      <c r="D11" s="17" t="s">
        <v>575</v>
      </c>
      <c r="E11" s="17" t="s">
        <v>576</v>
      </c>
    </row>
    <row r="12" spans="1:5" x14ac:dyDescent="0.3">
      <c r="A12" s="17" t="s">
        <v>577</v>
      </c>
      <c r="B12" s="17" t="s">
        <v>578</v>
      </c>
      <c r="C12" s="17" t="s">
        <v>579</v>
      </c>
      <c r="D12" s="17" t="s">
        <v>580</v>
      </c>
      <c r="E12" s="17" t="s">
        <v>581</v>
      </c>
    </row>
    <row r="13" spans="1:5" x14ac:dyDescent="0.3">
      <c r="A13" s="17" t="s">
        <v>582</v>
      </c>
      <c r="B13" s="17" t="s">
        <v>583</v>
      </c>
      <c r="C13" s="17" t="s">
        <v>584</v>
      </c>
      <c r="D13" s="17" t="s">
        <v>585</v>
      </c>
      <c r="E13" s="17" t="s">
        <v>586</v>
      </c>
    </row>
    <row r="14" spans="1:5" x14ac:dyDescent="0.3">
      <c r="A14" s="17" t="s">
        <v>587</v>
      </c>
      <c r="B14" s="17" t="s">
        <v>588</v>
      </c>
      <c r="C14" s="17" t="s">
        <v>535</v>
      </c>
      <c r="D14" s="17" t="s">
        <v>589</v>
      </c>
      <c r="E14" s="17" t="s">
        <v>590</v>
      </c>
    </row>
    <row r="15" spans="1:5" x14ac:dyDescent="0.3">
      <c r="A15" s="17" t="s">
        <v>591</v>
      </c>
      <c r="B15" s="17" t="s">
        <v>592</v>
      </c>
      <c r="C15" s="17" t="s">
        <v>584</v>
      </c>
      <c r="D15" s="17" t="s">
        <v>593</v>
      </c>
      <c r="E15" s="17" t="s">
        <v>594</v>
      </c>
    </row>
    <row r="16" spans="1:5" x14ac:dyDescent="0.3">
      <c r="A16" s="17" t="s">
        <v>595</v>
      </c>
      <c r="B16" s="17" t="s">
        <v>596</v>
      </c>
      <c r="C16" s="17" t="s">
        <v>535</v>
      </c>
      <c r="D16" s="17" t="s">
        <v>597</v>
      </c>
      <c r="E16" s="17" t="s">
        <v>598</v>
      </c>
    </row>
    <row r="17" spans="1:5" x14ac:dyDescent="0.3">
      <c r="A17" s="17" t="s">
        <v>599</v>
      </c>
      <c r="B17" s="17" t="s">
        <v>600</v>
      </c>
      <c r="C17" s="17" t="s">
        <v>601</v>
      </c>
      <c r="D17" s="17" t="s">
        <v>602</v>
      </c>
      <c r="E17" s="17" t="s">
        <v>603</v>
      </c>
    </row>
    <row r="18" spans="1:5" x14ac:dyDescent="0.3">
      <c r="A18" s="17" t="s">
        <v>604</v>
      </c>
      <c r="B18" s="17" t="s">
        <v>605</v>
      </c>
      <c r="C18" s="17" t="s">
        <v>601</v>
      </c>
      <c r="D18" s="17" t="s">
        <v>606</v>
      </c>
      <c r="E18" s="17" t="s">
        <v>607</v>
      </c>
    </row>
    <row r="19" spans="1:5" x14ac:dyDescent="0.3">
      <c r="A19" s="17" t="s">
        <v>608</v>
      </c>
      <c r="B19" s="17" t="s">
        <v>609</v>
      </c>
      <c r="C19" s="17" t="s">
        <v>610</v>
      </c>
      <c r="D19" s="17" t="s">
        <v>611</v>
      </c>
      <c r="E19" s="17" t="s">
        <v>612</v>
      </c>
    </row>
    <row r="20" spans="1:5" x14ac:dyDescent="0.3">
      <c r="A20" s="17" t="s">
        <v>613</v>
      </c>
      <c r="B20" s="17" t="s">
        <v>614</v>
      </c>
      <c r="C20" s="17" t="s">
        <v>566</v>
      </c>
      <c r="D20" s="17" t="s">
        <v>615</v>
      </c>
      <c r="E20" s="17" t="s">
        <v>616</v>
      </c>
    </row>
    <row r="21" spans="1:5" x14ac:dyDescent="0.3">
      <c r="A21" s="17" t="s">
        <v>617</v>
      </c>
      <c r="B21" s="17" t="s">
        <v>618</v>
      </c>
      <c r="C21" s="17" t="s">
        <v>601</v>
      </c>
      <c r="D21" s="17" t="s">
        <v>619</v>
      </c>
      <c r="E21" s="17" t="s">
        <v>620</v>
      </c>
    </row>
    <row r="22" spans="1:5" x14ac:dyDescent="0.3">
      <c r="A22" s="17" t="s">
        <v>621</v>
      </c>
      <c r="B22" s="17" t="s">
        <v>622</v>
      </c>
      <c r="C22" s="17" t="s">
        <v>566</v>
      </c>
      <c r="D22" s="17" t="s">
        <v>623</v>
      </c>
      <c r="E22" s="17" t="s">
        <v>624</v>
      </c>
    </row>
    <row r="23" spans="1:5" x14ac:dyDescent="0.3">
      <c r="A23" s="17" t="s">
        <v>625</v>
      </c>
      <c r="B23" s="17" t="s">
        <v>626</v>
      </c>
      <c r="C23" s="17" t="s">
        <v>584</v>
      </c>
      <c r="D23" s="17" t="s">
        <v>627</v>
      </c>
      <c r="E23" s="17" t="s">
        <v>628</v>
      </c>
    </row>
    <row r="24" spans="1:5" x14ac:dyDescent="0.3">
      <c r="A24" s="17" t="s">
        <v>629</v>
      </c>
      <c r="B24" s="17" t="s">
        <v>630</v>
      </c>
      <c r="C24" s="17" t="s">
        <v>584</v>
      </c>
      <c r="D24" s="17" t="s">
        <v>631</v>
      </c>
      <c r="E24" s="17" t="s">
        <v>632</v>
      </c>
    </row>
    <row r="25" spans="1:5" x14ac:dyDescent="0.3">
      <c r="A25" s="17" t="s">
        <v>633</v>
      </c>
      <c r="B25" s="17" t="s">
        <v>634</v>
      </c>
      <c r="C25" s="17" t="s">
        <v>584</v>
      </c>
      <c r="D25" s="17" t="s">
        <v>635</v>
      </c>
      <c r="E25" s="17" t="s">
        <v>636</v>
      </c>
    </row>
    <row r="26" spans="1:5" x14ac:dyDescent="0.3">
      <c r="A26" s="17" t="s">
        <v>637</v>
      </c>
      <c r="B26" s="17" t="s">
        <v>638</v>
      </c>
      <c r="C26" s="17" t="s">
        <v>584</v>
      </c>
      <c r="D26" s="17" t="s">
        <v>639</v>
      </c>
      <c r="E26" s="17" t="s">
        <v>640</v>
      </c>
    </row>
    <row r="27" spans="1:5" x14ac:dyDescent="0.3">
      <c r="A27" s="17" t="s">
        <v>641</v>
      </c>
      <c r="B27" s="17" t="s">
        <v>642</v>
      </c>
      <c r="C27" s="17" t="s">
        <v>540</v>
      </c>
      <c r="D27" s="17" t="s">
        <v>643</v>
      </c>
      <c r="E27" s="17" t="s">
        <v>644</v>
      </c>
    </row>
    <row r="28" spans="1:5" x14ac:dyDescent="0.3">
      <c r="A28" s="17" t="s">
        <v>645</v>
      </c>
      <c r="B28" s="17" t="s">
        <v>646</v>
      </c>
      <c r="C28" s="17" t="s">
        <v>584</v>
      </c>
      <c r="D28" s="17" t="s">
        <v>647</v>
      </c>
      <c r="E28" s="17" t="s">
        <v>648</v>
      </c>
    </row>
    <row r="29" spans="1:5" x14ac:dyDescent="0.3">
      <c r="A29" s="17" t="s">
        <v>649</v>
      </c>
      <c r="B29" s="17" t="s">
        <v>650</v>
      </c>
      <c r="C29" s="17" t="s">
        <v>584</v>
      </c>
      <c r="D29" s="17" t="s">
        <v>651</v>
      </c>
      <c r="E29" s="17" t="s">
        <v>652</v>
      </c>
    </row>
    <row r="30" spans="1:5" x14ac:dyDescent="0.3">
      <c r="A30" s="17" t="s">
        <v>653</v>
      </c>
      <c r="B30" s="17" t="s">
        <v>654</v>
      </c>
      <c r="C30" s="17" t="s">
        <v>566</v>
      </c>
      <c r="D30" s="17" t="s">
        <v>655</v>
      </c>
      <c r="E30" s="17" t="s">
        <v>656</v>
      </c>
    </row>
    <row r="31" spans="1:5" x14ac:dyDescent="0.3">
      <c r="A31" s="17" t="s">
        <v>657</v>
      </c>
      <c r="B31" s="17" t="s">
        <v>658</v>
      </c>
      <c r="C31" s="17" t="s">
        <v>659</v>
      </c>
      <c r="D31" s="17" t="s">
        <v>660</v>
      </c>
      <c r="E31" s="17" t="s">
        <v>661</v>
      </c>
    </row>
    <row r="32" spans="1:5" x14ac:dyDescent="0.3">
      <c r="A32" s="17" t="s">
        <v>662</v>
      </c>
      <c r="B32" s="17" t="s">
        <v>663</v>
      </c>
      <c r="C32" s="17" t="s">
        <v>561</v>
      </c>
      <c r="D32" s="17" t="s">
        <v>664</v>
      </c>
      <c r="E32" s="17" t="s">
        <v>665</v>
      </c>
    </row>
    <row r="33" spans="1:5" x14ac:dyDescent="0.3">
      <c r="A33" s="17" t="s">
        <v>666</v>
      </c>
      <c r="B33" s="17" t="s">
        <v>667</v>
      </c>
      <c r="C33" s="17" t="s">
        <v>584</v>
      </c>
      <c r="D33" s="17" t="s">
        <v>668</v>
      </c>
      <c r="E33" s="17" t="s">
        <v>669</v>
      </c>
    </row>
    <row r="34" spans="1:5" x14ac:dyDescent="0.3">
      <c r="A34" s="17" t="s">
        <v>670</v>
      </c>
      <c r="B34" s="17" t="s">
        <v>671</v>
      </c>
      <c r="C34" s="17" t="s">
        <v>535</v>
      </c>
      <c r="D34" s="17" t="s">
        <v>672</v>
      </c>
      <c r="E34" s="17" t="s">
        <v>673</v>
      </c>
    </row>
    <row r="35" spans="1:5" x14ac:dyDescent="0.3">
      <c r="A35" s="17" t="s">
        <v>674</v>
      </c>
      <c r="B35" s="17" t="s">
        <v>675</v>
      </c>
      <c r="C35" s="17" t="s">
        <v>676</v>
      </c>
      <c r="D35" s="17" t="s">
        <v>677</v>
      </c>
      <c r="E35" s="17" t="s">
        <v>678</v>
      </c>
    </row>
    <row r="36" spans="1:5" x14ac:dyDescent="0.3">
      <c r="A36" s="17" t="s">
        <v>679</v>
      </c>
      <c r="B36" s="17" t="s">
        <v>680</v>
      </c>
      <c r="C36" s="17" t="s">
        <v>681</v>
      </c>
      <c r="D36" s="17" t="s">
        <v>682</v>
      </c>
      <c r="E36" s="17" t="s">
        <v>683</v>
      </c>
    </row>
    <row r="37" spans="1:5" x14ac:dyDescent="0.3">
      <c r="A37" s="17" t="s">
        <v>684</v>
      </c>
      <c r="B37" s="17" t="s">
        <v>685</v>
      </c>
      <c r="C37" s="17" t="s">
        <v>686</v>
      </c>
      <c r="D37" s="17" t="s">
        <v>687</v>
      </c>
      <c r="E37" s="17" t="s">
        <v>688</v>
      </c>
    </row>
    <row r="38" spans="1:5" x14ac:dyDescent="0.3">
      <c r="A38" s="17" t="s">
        <v>689</v>
      </c>
      <c r="B38" s="17" t="s">
        <v>690</v>
      </c>
      <c r="C38" s="17" t="s">
        <v>691</v>
      </c>
      <c r="D38" s="17" t="s">
        <v>692</v>
      </c>
      <c r="E38" s="17" t="s">
        <v>693</v>
      </c>
    </row>
    <row r="39" spans="1:5" x14ac:dyDescent="0.3">
      <c r="A39" s="17" t="s">
        <v>694</v>
      </c>
      <c r="B39" s="17" t="s">
        <v>695</v>
      </c>
      <c r="C39" s="17" t="s">
        <v>540</v>
      </c>
      <c r="D39" s="17" t="s">
        <v>696</v>
      </c>
      <c r="E39" s="17" t="s">
        <v>697</v>
      </c>
    </row>
    <row r="40" spans="1:5" x14ac:dyDescent="0.3">
      <c r="A40" s="17" t="s">
        <v>698</v>
      </c>
      <c r="B40" s="17" t="s">
        <v>699</v>
      </c>
      <c r="C40" s="17" t="s">
        <v>681</v>
      </c>
      <c r="D40" s="17" t="s">
        <v>700</v>
      </c>
      <c r="E40" s="17" t="s">
        <v>701</v>
      </c>
    </row>
    <row r="41" spans="1:5" x14ac:dyDescent="0.3">
      <c r="A41" s="17" t="s">
        <v>702</v>
      </c>
      <c r="B41" s="17" t="s">
        <v>703</v>
      </c>
      <c r="C41" s="17" t="s">
        <v>704</v>
      </c>
      <c r="D41" s="17" t="s">
        <v>705</v>
      </c>
      <c r="E41" s="17" t="s">
        <v>706</v>
      </c>
    </row>
    <row r="42" spans="1:5" x14ac:dyDescent="0.3">
      <c r="A42" s="17" t="s">
        <v>707</v>
      </c>
      <c r="B42" s="17" t="s">
        <v>708</v>
      </c>
      <c r="C42" s="17" t="s">
        <v>561</v>
      </c>
      <c r="D42" s="17" t="s">
        <v>709</v>
      </c>
      <c r="E42" s="17" t="s">
        <v>710</v>
      </c>
    </row>
    <row r="43" spans="1:5" x14ac:dyDescent="0.3">
      <c r="A43" s="17" t="s">
        <v>711</v>
      </c>
      <c r="B43" s="17" t="s">
        <v>712</v>
      </c>
      <c r="C43" s="17" t="s">
        <v>610</v>
      </c>
      <c r="D43" s="17" t="s">
        <v>713</v>
      </c>
      <c r="E43" s="17" t="s">
        <v>714</v>
      </c>
    </row>
    <row r="44" spans="1:5" x14ac:dyDescent="0.3">
      <c r="A44" s="17" t="s">
        <v>715</v>
      </c>
      <c r="B44" s="17" t="s">
        <v>716</v>
      </c>
      <c r="C44" s="17" t="s">
        <v>717</v>
      </c>
      <c r="D44" s="17" t="s">
        <v>718</v>
      </c>
      <c r="E44" s="17" t="s">
        <v>719</v>
      </c>
    </row>
    <row r="45" spans="1:5" x14ac:dyDescent="0.3">
      <c r="A45" s="17" t="s">
        <v>720</v>
      </c>
      <c r="B45" s="17" t="s">
        <v>721</v>
      </c>
      <c r="C45" s="17" t="s">
        <v>540</v>
      </c>
      <c r="D45" s="17" t="s">
        <v>722</v>
      </c>
      <c r="E45" s="17" t="s">
        <v>723</v>
      </c>
    </row>
    <row r="46" spans="1:5" x14ac:dyDescent="0.3">
      <c r="A46" s="17" t="s">
        <v>724</v>
      </c>
      <c r="B46" s="17" t="s">
        <v>725</v>
      </c>
      <c r="C46" s="17" t="s">
        <v>566</v>
      </c>
      <c r="D46" s="17" t="s">
        <v>726</v>
      </c>
      <c r="E46" s="17" t="s">
        <v>727</v>
      </c>
    </row>
    <row r="47" spans="1:5" x14ac:dyDescent="0.3">
      <c r="A47" s="17" t="s">
        <v>728</v>
      </c>
      <c r="B47" s="17" t="s">
        <v>729</v>
      </c>
      <c r="C47" s="17" t="s">
        <v>561</v>
      </c>
      <c r="D47" s="17" t="s">
        <v>730</v>
      </c>
      <c r="E47" s="17" t="s">
        <v>731</v>
      </c>
    </row>
    <row r="48" spans="1:5" x14ac:dyDescent="0.3">
      <c r="A48" s="17" t="s">
        <v>732</v>
      </c>
      <c r="B48" s="17" t="s">
        <v>733</v>
      </c>
      <c r="C48" s="17" t="s">
        <v>734</v>
      </c>
      <c r="D48" s="17" t="s">
        <v>735</v>
      </c>
      <c r="E48" s="17" t="s">
        <v>736</v>
      </c>
    </row>
    <row r="49" spans="1:5" x14ac:dyDescent="0.3">
      <c r="A49" s="17" t="s">
        <v>737</v>
      </c>
      <c r="B49" s="17" t="s">
        <v>738</v>
      </c>
      <c r="C49" s="17" t="s">
        <v>739</v>
      </c>
      <c r="D49" s="17" t="s">
        <v>740</v>
      </c>
      <c r="E49" s="17" t="s">
        <v>741</v>
      </c>
    </row>
    <row r="50" spans="1:5" x14ac:dyDescent="0.3">
      <c r="A50" s="17" t="s">
        <v>742</v>
      </c>
      <c r="B50" s="17" t="s">
        <v>743</v>
      </c>
      <c r="C50" s="17" t="s">
        <v>744</v>
      </c>
      <c r="D50" s="17" t="s">
        <v>745</v>
      </c>
      <c r="E50" s="17" t="s">
        <v>746</v>
      </c>
    </row>
    <row r="51" spans="1:5" x14ac:dyDescent="0.3">
      <c r="A51" s="17" t="s">
        <v>747</v>
      </c>
      <c r="B51" s="17" t="s">
        <v>748</v>
      </c>
      <c r="C51" s="17" t="s">
        <v>749</v>
      </c>
      <c r="D51" s="17" t="s">
        <v>750</v>
      </c>
      <c r="E51" s="17" t="s">
        <v>751</v>
      </c>
    </row>
    <row r="52" spans="1:5" x14ac:dyDescent="0.3">
      <c r="A52" s="17" t="s">
        <v>752</v>
      </c>
      <c r="B52" s="17" t="s">
        <v>753</v>
      </c>
      <c r="C52" s="17" t="s">
        <v>601</v>
      </c>
      <c r="D52" s="17" t="s">
        <v>754</v>
      </c>
      <c r="E52" s="17" t="s">
        <v>755</v>
      </c>
    </row>
    <row r="53" spans="1:5" x14ac:dyDescent="0.3">
      <c r="A53" s="17" t="s">
        <v>756</v>
      </c>
      <c r="B53" s="17" t="s">
        <v>757</v>
      </c>
      <c r="C53" s="17" t="s">
        <v>758</v>
      </c>
      <c r="D53" s="17" t="s">
        <v>759</v>
      </c>
      <c r="E53" s="17" t="s">
        <v>760</v>
      </c>
    </row>
    <row r="54" spans="1:5" x14ac:dyDescent="0.3">
      <c r="A54" s="17" t="s">
        <v>761</v>
      </c>
      <c r="B54" s="17" t="s">
        <v>762</v>
      </c>
      <c r="C54" s="17" t="s">
        <v>601</v>
      </c>
      <c r="D54" s="17" t="s">
        <v>763</v>
      </c>
      <c r="E54" s="17" t="s">
        <v>764</v>
      </c>
    </row>
    <row r="55" spans="1:5" x14ac:dyDescent="0.3">
      <c r="A55" s="17" t="s">
        <v>765</v>
      </c>
      <c r="B55" s="17" t="s">
        <v>766</v>
      </c>
      <c r="C55" s="17" t="s">
        <v>566</v>
      </c>
      <c r="D55" s="17" t="s">
        <v>767</v>
      </c>
      <c r="E55" s="17" t="s">
        <v>768</v>
      </c>
    </row>
    <row r="56" spans="1:5" x14ac:dyDescent="0.3">
      <c r="A56" s="17" t="s">
        <v>769</v>
      </c>
      <c r="B56" s="17" t="s">
        <v>770</v>
      </c>
      <c r="C56" s="17" t="s">
        <v>601</v>
      </c>
      <c r="D56" s="17" t="s">
        <v>771</v>
      </c>
      <c r="E56" s="17" t="s">
        <v>772</v>
      </c>
    </row>
    <row r="57" spans="1:5" x14ac:dyDescent="0.3">
      <c r="A57" s="17" t="s">
        <v>773</v>
      </c>
      <c r="B57" s="17" t="s">
        <v>774</v>
      </c>
      <c r="C57" s="17" t="s">
        <v>704</v>
      </c>
      <c r="D57" s="17" t="s">
        <v>775</v>
      </c>
      <c r="E57" s="17" t="s">
        <v>776</v>
      </c>
    </row>
    <row r="58" spans="1:5" x14ac:dyDescent="0.3">
      <c r="A58" s="17" t="s">
        <v>777</v>
      </c>
      <c r="B58" s="17" t="s">
        <v>778</v>
      </c>
      <c r="C58" s="17" t="s">
        <v>579</v>
      </c>
      <c r="D58" s="17" t="s">
        <v>779</v>
      </c>
      <c r="E58" s="17" t="s">
        <v>780</v>
      </c>
    </row>
    <row r="59" spans="1:5" x14ac:dyDescent="0.3">
      <c r="A59" s="17" t="s">
        <v>781</v>
      </c>
      <c r="B59" s="17" t="s">
        <v>782</v>
      </c>
      <c r="C59" s="17" t="s">
        <v>540</v>
      </c>
      <c r="D59" s="17" t="s">
        <v>783</v>
      </c>
      <c r="E59" s="17" t="s">
        <v>784</v>
      </c>
    </row>
    <row r="60" spans="1:5" x14ac:dyDescent="0.3">
      <c r="A60" s="17" t="s">
        <v>785</v>
      </c>
      <c r="B60" s="17" t="s">
        <v>786</v>
      </c>
      <c r="C60" s="17" t="s">
        <v>566</v>
      </c>
      <c r="D60" s="17" t="s">
        <v>787</v>
      </c>
      <c r="E60" s="17" t="s">
        <v>788</v>
      </c>
    </row>
    <row r="61" spans="1:5" x14ac:dyDescent="0.3">
      <c r="A61" s="17" t="s">
        <v>789</v>
      </c>
      <c r="B61" s="17" t="s">
        <v>790</v>
      </c>
      <c r="C61" s="17" t="s">
        <v>610</v>
      </c>
      <c r="D61" s="17" t="s">
        <v>791</v>
      </c>
      <c r="E61" s="17" t="s">
        <v>792</v>
      </c>
    </row>
    <row r="62" spans="1:5" x14ac:dyDescent="0.3">
      <c r="A62" s="17" t="s">
        <v>793</v>
      </c>
      <c r="B62" s="17" t="s">
        <v>794</v>
      </c>
      <c r="C62" s="17" t="s">
        <v>795</v>
      </c>
      <c r="D62" s="17" t="s">
        <v>796</v>
      </c>
      <c r="E62" s="17" t="s">
        <v>797</v>
      </c>
    </row>
    <row r="63" spans="1:5" x14ac:dyDescent="0.3">
      <c r="A63" s="17" t="s">
        <v>798</v>
      </c>
      <c r="B63" s="17" t="s">
        <v>799</v>
      </c>
      <c r="C63" s="17" t="s">
        <v>800</v>
      </c>
      <c r="D63" s="17" t="s">
        <v>801</v>
      </c>
      <c r="E63" s="17" t="s">
        <v>802</v>
      </c>
    </row>
    <row r="64" spans="1:5" x14ac:dyDescent="0.3">
      <c r="A64" s="17" t="s">
        <v>803</v>
      </c>
      <c r="B64" s="17" t="s">
        <v>804</v>
      </c>
      <c r="C64" s="17" t="s">
        <v>540</v>
      </c>
      <c r="D64" s="17" t="s">
        <v>805</v>
      </c>
      <c r="E64" s="17" t="s">
        <v>806</v>
      </c>
    </row>
    <row r="65" spans="1:5" x14ac:dyDescent="0.3">
      <c r="A65" s="17" t="s">
        <v>807</v>
      </c>
      <c r="B65" s="17" t="s">
        <v>808</v>
      </c>
      <c r="C65" s="17" t="s">
        <v>535</v>
      </c>
      <c r="D65" s="17" t="s">
        <v>809</v>
      </c>
      <c r="E65" s="17" t="s">
        <v>810</v>
      </c>
    </row>
    <row r="66" spans="1:5" x14ac:dyDescent="0.3">
      <c r="A66" s="17" t="s">
        <v>811</v>
      </c>
      <c r="B66" s="17" t="s">
        <v>812</v>
      </c>
      <c r="C66" s="17" t="s">
        <v>584</v>
      </c>
      <c r="D66" s="17" t="s">
        <v>813</v>
      </c>
      <c r="E66" s="17" t="s">
        <v>814</v>
      </c>
    </row>
    <row r="67" spans="1:5" x14ac:dyDescent="0.3">
      <c r="A67" s="17" t="s">
        <v>815</v>
      </c>
      <c r="B67" s="17" t="s">
        <v>816</v>
      </c>
      <c r="C67" s="17" t="s">
        <v>584</v>
      </c>
      <c r="D67" s="17" t="s">
        <v>817</v>
      </c>
      <c r="E67" s="17" t="s">
        <v>818</v>
      </c>
    </row>
    <row r="68" spans="1:5" x14ac:dyDescent="0.3">
      <c r="A68" s="17" t="s">
        <v>819</v>
      </c>
      <c r="B68" s="17" t="s">
        <v>820</v>
      </c>
      <c r="C68" s="17" t="s">
        <v>535</v>
      </c>
      <c r="D68" s="17" t="s">
        <v>821</v>
      </c>
      <c r="E68" s="17" t="s">
        <v>822</v>
      </c>
    </row>
    <row r="69" spans="1:5" x14ac:dyDescent="0.3">
      <c r="A69" s="17" t="s">
        <v>823</v>
      </c>
      <c r="B69" s="17" t="s">
        <v>824</v>
      </c>
      <c r="C69" s="17" t="s">
        <v>584</v>
      </c>
      <c r="D69" s="17" t="s">
        <v>825</v>
      </c>
      <c r="E69" s="17" t="s">
        <v>826</v>
      </c>
    </row>
    <row r="70" spans="1:5" x14ac:dyDescent="0.3">
      <c r="A70" s="17" t="s">
        <v>827</v>
      </c>
      <c r="B70" s="17" t="s">
        <v>828</v>
      </c>
      <c r="C70" s="17" t="s">
        <v>829</v>
      </c>
      <c r="D70" s="17" t="s">
        <v>830</v>
      </c>
      <c r="E70" s="17" t="s">
        <v>831</v>
      </c>
    </row>
    <row r="71" spans="1:5" x14ac:dyDescent="0.3">
      <c r="A71" s="17" t="s">
        <v>832</v>
      </c>
      <c r="B71" s="17" t="s">
        <v>833</v>
      </c>
      <c r="C71" s="17" t="s">
        <v>829</v>
      </c>
      <c r="D71" s="17" t="s">
        <v>834</v>
      </c>
      <c r="E71" s="17" t="s">
        <v>835</v>
      </c>
    </row>
    <row r="72" spans="1:5" x14ac:dyDescent="0.3">
      <c r="A72" s="17" t="s">
        <v>836</v>
      </c>
      <c r="B72" s="17" t="s">
        <v>837</v>
      </c>
      <c r="C72" s="17" t="s">
        <v>681</v>
      </c>
      <c r="D72" s="17" t="s">
        <v>838</v>
      </c>
      <c r="E72" s="17" t="s">
        <v>839</v>
      </c>
    </row>
    <row r="73" spans="1:5" x14ac:dyDescent="0.3">
      <c r="A73" s="17" t="s">
        <v>840</v>
      </c>
      <c r="B73" s="17" t="s">
        <v>841</v>
      </c>
      <c r="C73" s="17" t="s">
        <v>686</v>
      </c>
      <c r="D73" s="17" t="s">
        <v>842</v>
      </c>
      <c r="E73" s="17" t="s">
        <v>843</v>
      </c>
    </row>
    <row r="74" spans="1:5" x14ac:dyDescent="0.3">
      <c r="A74" s="17" t="s">
        <v>844</v>
      </c>
      <c r="B74" s="17" t="s">
        <v>845</v>
      </c>
      <c r="C74" s="17" t="s">
        <v>704</v>
      </c>
      <c r="D74" s="17" t="s">
        <v>846</v>
      </c>
      <c r="E74" s="17" t="s">
        <v>847</v>
      </c>
    </row>
    <row r="75" spans="1:5" x14ac:dyDescent="0.3">
      <c r="A75" s="17" t="s">
        <v>848</v>
      </c>
      <c r="B75" s="17" t="s">
        <v>849</v>
      </c>
      <c r="C75" s="17" t="s">
        <v>676</v>
      </c>
      <c r="D75" s="17" t="s">
        <v>850</v>
      </c>
      <c r="E75" s="17" t="s">
        <v>851</v>
      </c>
    </row>
    <row r="76" spans="1:5" x14ac:dyDescent="0.3">
      <c r="A76" s="17" t="s">
        <v>852</v>
      </c>
      <c r="B76" s="17" t="s">
        <v>853</v>
      </c>
      <c r="C76" s="17" t="s">
        <v>854</v>
      </c>
      <c r="D76" s="17" t="s">
        <v>855</v>
      </c>
      <c r="E76" s="17" t="s">
        <v>856</v>
      </c>
    </row>
    <row r="77" spans="1:5" x14ac:dyDescent="0.3">
      <c r="A77" s="17" t="s">
        <v>857</v>
      </c>
      <c r="B77" s="17" t="s">
        <v>858</v>
      </c>
      <c r="C77" s="17" t="s">
        <v>795</v>
      </c>
      <c r="D77" s="17" t="s">
        <v>859</v>
      </c>
      <c r="E77" s="17" t="s">
        <v>860</v>
      </c>
    </row>
    <row r="78" spans="1:5" x14ac:dyDescent="0.3">
      <c r="A78" s="17" t="s">
        <v>861</v>
      </c>
      <c r="B78" s="17" t="s">
        <v>862</v>
      </c>
      <c r="C78" s="17" t="s">
        <v>749</v>
      </c>
      <c r="D78" s="17" t="s">
        <v>863</v>
      </c>
      <c r="E78" s="17" t="s">
        <v>864</v>
      </c>
    </row>
    <row r="79" spans="1:5" x14ac:dyDescent="0.3">
      <c r="A79" s="17" t="s">
        <v>865</v>
      </c>
      <c r="B79" s="17" t="s">
        <v>866</v>
      </c>
      <c r="C79" s="17" t="s">
        <v>540</v>
      </c>
      <c r="D79" s="17" t="s">
        <v>867</v>
      </c>
      <c r="E79" s="17" t="s">
        <v>868</v>
      </c>
    </row>
    <row r="80" spans="1:5" x14ac:dyDescent="0.3">
      <c r="A80" s="17" t="s">
        <v>869</v>
      </c>
      <c r="B80" s="17" t="s">
        <v>870</v>
      </c>
      <c r="C80" s="17" t="s">
        <v>871</v>
      </c>
      <c r="D80" s="17" t="s">
        <v>872</v>
      </c>
      <c r="E80" s="17" t="s">
        <v>873</v>
      </c>
    </row>
    <row r="81" spans="1:5" x14ac:dyDescent="0.3">
      <c r="A81" s="17" t="s">
        <v>874</v>
      </c>
      <c r="B81" s="17" t="s">
        <v>875</v>
      </c>
      <c r="C81" s="17" t="s">
        <v>829</v>
      </c>
      <c r="D81" s="17" t="s">
        <v>876</v>
      </c>
      <c r="E81" s="17" t="s">
        <v>877</v>
      </c>
    </row>
    <row r="82" spans="1:5" x14ac:dyDescent="0.3">
      <c r="A82" s="17" t="s">
        <v>878</v>
      </c>
      <c r="B82" s="17" t="s">
        <v>879</v>
      </c>
      <c r="C82" s="17" t="s">
        <v>535</v>
      </c>
      <c r="D82" s="17" t="s">
        <v>880</v>
      </c>
      <c r="E82" s="17" t="s">
        <v>881</v>
      </c>
    </row>
    <row r="83" spans="1:5" x14ac:dyDescent="0.3">
      <c r="A83" s="17" t="s">
        <v>882</v>
      </c>
      <c r="B83" s="17" t="s">
        <v>883</v>
      </c>
      <c r="C83" s="17" t="s">
        <v>676</v>
      </c>
      <c r="D83" s="17" t="s">
        <v>884</v>
      </c>
      <c r="E83" s="17" t="s">
        <v>885</v>
      </c>
    </row>
    <row r="84" spans="1:5" x14ac:dyDescent="0.3">
      <c r="A84" s="17" t="s">
        <v>886</v>
      </c>
      <c r="B84" s="17" t="s">
        <v>887</v>
      </c>
      <c r="C84" s="17" t="s">
        <v>749</v>
      </c>
      <c r="D84" s="17" t="s">
        <v>888</v>
      </c>
      <c r="E84" s="17" t="s">
        <v>889</v>
      </c>
    </row>
    <row r="85" spans="1:5" x14ac:dyDescent="0.3">
      <c r="A85" s="17" t="s">
        <v>890</v>
      </c>
      <c r="B85" s="17" t="s">
        <v>891</v>
      </c>
      <c r="C85" s="17" t="s">
        <v>535</v>
      </c>
      <c r="D85" s="17" t="s">
        <v>892</v>
      </c>
      <c r="E85" s="17" t="s">
        <v>893</v>
      </c>
    </row>
  </sheetData>
  <autoFilter ref="A1:E85"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N28"/>
  <sheetViews>
    <sheetView zoomScaleNormal="100" workbookViewId="0">
      <pane ySplit="1" topLeftCell="A2" activePane="bottomLeft" state="frozen"/>
      <selection pane="bottomLeft" activeCell="C3" sqref="C3"/>
    </sheetView>
  </sheetViews>
  <sheetFormatPr defaultColWidth="8.6640625" defaultRowHeight="14.4" x14ac:dyDescent="0.3"/>
  <cols>
    <col min="1" max="1" width="12" customWidth="1"/>
    <col min="2" max="3" width="20" customWidth="1"/>
    <col min="4" max="5" width="16" customWidth="1"/>
    <col min="6" max="6" width="14" customWidth="1"/>
    <col min="7" max="7" width="16" customWidth="1"/>
    <col min="8" max="8" width="12" customWidth="1"/>
    <col min="9" max="9" width="22" customWidth="1"/>
    <col min="10" max="10" width="16" customWidth="1"/>
    <col min="11" max="11" width="20" customWidth="1"/>
    <col min="12" max="12" width="16" customWidth="1"/>
    <col min="13" max="13" width="14" customWidth="1"/>
    <col min="14" max="14" width="40" customWidth="1"/>
  </cols>
  <sheetData>
    <row r="1" spans="1:14" ht="26.4" x14ac:dyDescent="0.3">
      <c r="A1" s="19" t="s">
        <v>894</v>
      </c>
      <c r="B1" s="19" t="s">
        <v>895</v>
      </c>
      <c r="C1" s="46" t="s">
        <v>1343</v>
      </c>
      <c r="D1" s="19" t="s">
        <v>896</v>
      </c>
      <c r="E1" s="19" t="s">
        <v>897</v>
      </c>
      <c r="F1" s="19" t="s">
        <v>898</v>
      </c>
      <c r="G1" s="19" t="s">
        <v>899</v>
      </c>
      <c r="H1" s="19" t="s">
        <v>900</v>
      </c>
      <c r="I1" s="19" t="s">
        <v>901</v>
      </c>
      <c r="J1" s="19" t="s">
        <v>902</v>
      </c>
      <c r="K1" s="19" t="s">
        <v>903</v>
      </c>
      <c r="L1" s="19" t="s">
        <v>904</v>
      </c>
      <c r="M1" s="19" t="s">
        <v>905</v>
      </c>
      <c r="N1" s="19" t="s">
        <v>906</v>
      </c>
    </row>
    <row r="2" spans="1:14" x14ac:dyDescent="0.3">
      <c r="A2" s="17" t="s">
        <v>907</v>
      </c>
      <c r="B2" s="17" t="s">
        <v>908</v>
      </c>
      <c r="C2" s="44" t="s">
        <v>1344</v>
      </c>
      <c r="D2" s="17"/>
      <c r="E2" s="17"/>
      <c r="F2" s="17"/>
      <c r="G2" s="17"/>
      <c r="H2" s="17"/>
      <c r="I2" s="17"/>
      <c r="J2" s="17"/>
      <c r="K2" s="17"/>
      <c r="L2" s="17"/>
      <c r="M2" s="17"/>
      <c r="N2" s="17" t="s">
        <v>909</v>
      </c>
    </row>
    <row r="3" spans="1:14" x14ac:dyDescent="0.3">
      <c r="A3" s="17" t="s">
        <v>910</v>
      </c>
      <c r="B3" s="17" t="s">
        <v>911</v>
      </c>
      <c r="C3" s="17"/>
      <c r="D3" s="17"/>
      <c r="E3" s="17"/>
      <c r="F3" s="17"/>
      <c r="G3" s="17"/>
      <c r="H3" s="17"/>
      <c r="I3" s="17"/>
      <c r="J3" s="17"/>
      <c r="K3" s="17"/>
      <c r="L3" s="17"/>
      <c r="M3" s="17"/>
      <c r="N3" s="17" t="s">
        <v>912</v>
      </c>
    </row>
    <row r="4" spans="1:14" x14ac:dyDescent="0.3">
      <c r="A4" s="17" t="s">
        <v>913</v>
      </c>
      <c r="B4" s="17" t="s">
        <v>914</v>
      </c>
      <c r="C4" s="17"/>
      <c r="D4" s="17"/>
      <c r="E4" s="17"/>
      <c r="F4" s="17"/>
      <c r="G4" s="17"/>
      <c r="H4" s="17"/>
      <c r="I4" s="17"/>
      <c r="J4" s="17"/>
      <c r="K4" s="17"/>
      <c r="L4" s="17"/>
      <c r="M4" s="17"/>
      <c r="N4" s="17" t="s">
        <v>915</v>
      </c>
    </row>
    <row r="5" spans="1:14" x14ac:dyDescent="0.3">
      <c r="A5" s="17" t="s">
        <v>916</v>
      </c>
      <c r="B5" s="17" t="s">
        <v>917</v>
      </c>
      <c r="C5" s="17"/>
      <c r="D5" s="17"/>
      <c r="E5" s="17"/>
      <c r="F5" s="17"/>
      <c r="G5" s="17"/>
      <c r="H5" s="17"/>
      <c r="I5" s="17"/>
      <c r="J5" s="17"/>
      <c r="K5" s="17"/>
      <c r="L5" s="17"/>
      <c r="M5" s="17"/>
      <c r="N5" s="17" t="s">
        <v>918</v>
      </c>
    </row>
    <row r="6" spans="1:14" x14ac:dyDescent="0.3">
      <c r="A6" s="17" t="s">
        <v>919</v>
      </c>
      <c r="B6" s="17" t="s">
        <v>920</v>
      </c>
      <c r="C6" s="17"/>
      <c r="D6" s="17"/>
      <c r="E6" s="17"/>
      <c r="F6" s="17"/>
      <c r="G6" s="17"/>
      <c r="H6" s="17"/>
      <c r="I6" s="17"/>
      <c r="J6" s="17"/>
      <c r="K6" s="17"/>
      <c r="L6" s="17"/>
      <c r="M6" s="17"/>
      <c r="N6" s="17" t="s">
        <v>921</v>
      </c>
    </row>
    <row r="7" spans="1:14" x14ac:dyDescent="0.3">
      <c r="A7" s="17" t="s">
        <v>922</v>
      </c>
      <c r="B7" s="17" t="s">
        <v>923</v>
      </c>
      <c r="C7" s="17"/>
      <c r="D7" s="17"/>
      <c r="E7" s="17"/>
      <c r="F7" s="17"/>
      <c r="G7" s="17"/>
      <c r="H7" s="17"/>
      <c r="I7" s="17"/>
      <c r="J7" s="17"/>
      <c r="K7" s="17"/>
      <c r="L7" s="17"/>
      <c r="M7" s="17"/>
      <c r="N7" s="17" t="s">
        <v>924</v>
      </c>
    </row>
    <row r="8" spans="1:14" x14ac:dyDescent="0.3">
      <c r="A8" s="17" t="s">
        <v>925</v>
      </c>
      <c r="B8" s="17" t="s">
        <v>926</v>
      </c>
      <c r="C8" s="17"/>
      <c r="D8" s="17"/>
      <c r="E8" s="17"/>
      <c r="F8" s="17"/>
      <c r="G8" s="17"/>
      <c r="H8" s="17"/>
      <c r="I8" s="17"/>
      <c r="J8" s="17"/>
      <c r="K8" s="17"/>
      <c r="L8" s="17"/>
      <c r="M8" s="17"/>
      <c r="N8" s="17" t="s">
        <v>927</v>
      </c>
    </row>
    <row r="9" spans="1:14" x14ac:dyDescent="0.3">
      <c r="A9" s="17" t="s">
        <v>928</v>
      </c>
      <c r="B9" s="17" t="s">
        <v>929</v>
      </c>
      <c r="C9" s="17"/>
      <c r="D9" s="17"/>
      <c r="E9" s="17"/>
      <c r="F9" s="17"/>
      <c r="G9" s="17"/>
      <c r="H9" s="17"/>
      <c r="I9" s="17"/>
      <c r="J9" s="17"/>
      <c r="K9" s="17"/>
      <c r="L9" s="17"/>
      <c r="M9" s="17"/>
      <c r="N9" s="17" t="s">
        <v>930</v>
      </c>
    </row>
    <row r="10" spans="1:14" x14ac:dyDescent="0.3">
      <c r="A10" s="17" t="s">
        <v>931</v>
      </c>
      <c r="B10" s="17" t="s">
        <v>932</v>
      </c>
      <c r="C10" s="17"/>
      <c r="D10" s="17"/>
      <c r="E10" s="17"/>
      <c r="F10" s="17"/>
      <c r="G10" s="17"/>
      <c r="H10" s="17"/>
      <c r="I10" s="17"/>
      <c r="J10" s="17"/>
      <c r="K10" s="17"/>
      <c r="L10" s="17"/>
      <c r="M10" s="17"/>
      <c r="N10" s="17" t="s">
        <v>933</v>
      </c>
    </row>
    <row r="11" spans="1:14" x14ac:dyDescent="0.3">
      <c r="A11" s="17" t="s">
        <v>934</v>
      </c>
      <c r="B11" s="17" t="s">
        <v>935</v>
      </c>
      <c r="C11" s="17"/>
      <c r="D11" s="17"/>
      <c r="E11" s="17"/>
      <c r="F11" s="17"/>
      <c r="G11" s="17"/>
      <c r="H11" s="17"/>
      <c r="I11" s="17"/>
      <c r="J11" s="17"/>
      <c r="K11" s="17"/>
      <c r="L11" s="17"/>
      <c r="M11" s="17"/>
      <c r="N11" s="17" t="s">
        <v>936</v>
      </c>
    </row>
    <row r="12" spans="1:14" x14ac:dyDescent="0.3">
      <c r="A12" s="17" t="s">
        <v>937</v>
      </c>
      <c r="B12" s="17" t="s">
        <v>938</v>
      </c>
      <c r="C12" s="17"/>
      <c r="D12" s="17"/>
      <c r="E12" s="17"/>
      <c r="F12" s="17"/>
      <c r="G12" s="17"/>
      <c r="H12" s="17"/>
      <c r="I12" s="17"/>
      <c r="J12" s="17"/>
      <c r="K12" s="17"/>
      <c r="L12" s="17"/>
      <c r="M12" s="17"/>
      <c r="N12" s="17" t="s">
        <v>939</v>
      </c>
    </row>
    <row r="13" spans="1:14" x14ac:dyDescent="0.3">
      <c r="A13" s="17" t="s">
        <v>940</v>
      </c>
      <c r="B13" s="17" t="s">
        <v>941</v>
      </c>
      <c r="C13" s="17"/>
      <c r="D13" s="17"/>
      <c r="E13" s="17"/>
      <c r="F13" s="17"/>
      <c r="G13" s="17"/>
      <c r="H13" s="17"/>
      <c r="I13" s="17"/>
      <c r="J13" s="17"/>
      <c r="K13" s="17"/>
      <c r="L13" s="17"/>
      <c r="M13" s="17"/>
      <c r="N13" s="17" t="s">
        <v>942</v>
      </c>
    </row>
    <row r="14" spans="1:14" x14ac:dyDescent="0.3">
      <c r="A14" s="17" t="s">
        <v>943</v>
      </c>
      <c r="B14" s="17" t="s">
        <v>944</v>
      </c>
      <c r="C14" s="17"/>
      <c r="D14" s="17"/>
      <c r="E14" s="17"/>
      <c r="F14" s="17"/>
      <c r="G14" s="17"/>
      <c r="H14" s="17"/>
      <c r="I14" s="17"/>
      <c r="J14" s="17"/>
      <c r="K14" s="17"/>
      <c r="L14" s="17"/>
      <c r="M14" s="17"/>
      <c r="N14" s="17" t="s">
        <v>945</v>
      </c>
    </row>
    <row r="15" spans="1:14" x14ac:dyDescent="0.3">
      <c r="A15" s="17" t="s">
        <v>946</v>
      </c>
      <c r="B15" s="17" t="s">
        <v>947</v>
      </c>
      <c r="C15" s="17"/>
      <c r="D15" s="17"/>
      <c r="E15" s="17"/>
      <c r="F15" s="17"/>
      <c r="G15" s="17"/>
      <c r="H15" s="17"/>
      <c r="I15" s="17"/>
      <c r="J15" s="17"/>
      <c r="K15" s="17"/>
      <c r="L15" s="17"/>
      <c r="M15" s="17"/>
      <c r="N15" s="17" t="s">
        <v>948</v>
      </c>
    </row>
    <row r="16" spans="1:14" x14ac:dyDescent="0.3">
      <c r="A16" s="17" t="s">
        <v>949</v>
      </c>
      <c r="B16" s="17" t="s">
        <v>950</v>
      </c>
      <c r="C16" s="17"/>
      <c r="D16" s="17"/>
      <c r="E16" s="17"/>
      <c r="F16" s="17"/>
      <c r="G16" s="17"/>
      <c r="H16" s="17"/>
      <c r="I16" s="17"/>
      <c r="J16" s="17"/>
      <c r="K16" s="17"/>
      <c r="L16" s="17"/>
      <c r="M16" s="17"/>
      <c r="N16" s="17" t="s">
        <v>951</v>
      </c>
    </row>
    <row r="17" spans="1:14" x14ac:dyDescent="0.3">
      <c r="A17" s="17" t="s">
        <v>952</v>
      </c>
      <c r="B17" s="17" t="s">
        <v>953</v>
      </c>
      <c r="C17" s="17"/>
      <c r="D17" s="17"/>
      <c r="E17" s="17"/>
      <c r="F17" s="17"/>
      <c r="G17" s="17"/>
      <c r="H17" s="17"/>
      <c r="I17" s="17"/>
      <c r="J17" s="17"/>
      <c r="K17" s="17"/>
      <c r="L17" s="17"/>
      <c r="M17" s="17"/>
      <c r="N17" s="17" t="s">
        <v>954</v>
      </c>
    </row>
    <row r="18" spans="1:14" x14ac:dyDescent="0.3">
      <c r="A18" s="17" t="s">
        <v>955</v>
      </c>
      <c r="B18" s="17" t="s">
        <v>956</v>
      </c>
      <c r="C18" s="17"/>
      <c r="D18" s="17"/>
      <c r="E18" s="17"/>
      <c r="F18" s="17"/>
      <c r="G18" s="17"/>
      <c r="H18" s="17"/>
      <c r="I18" s="17"/>
      <c r="J18" s="17"/>
      <c r="K18" s="17"/>
      <c r="L18" s="17"/>
      <c r="M18" s="17"/>
      <c r="N18" s="17" t="s">
        <v>957</v>
      </c>
    </row>
    <row r="19" spans="1:14" x14ac:dyDescent="0.3">
      <c r="A19" s="17" t="s">
        <v>958</v>
      </c>
      <c r="B19" s="17" t="s">
        <v>959</v>
      </c>
      <c r="C19" s="17"/>
      <c r="D19" s="17"/>
      <c r="E19" s="17"/>
      <c r="F19" s="17"/>
      <c r="G19" s="17"/>
      <c r="H19" s="17"/>
      <c r="I19" s="17"/>
      <c r="J19" s="17"/>
      <c r="K19" s="17"/>
      <c r="L19" s="17"/>
      <c r="M19" s="17"/>
      <c r="N19" s="17" t="s">
        <v>960</v>
      </c>
    </row>
    <row r="20" spans="1:14" x14ac:dyDescent="0.3">
      <c r="A20" s="17" t="s">
        <v>961</v>
      </c>
      <c r="B20" s="17" t="s">
        <v>962</v>
      </c>
      <c r="C20" s="17"/>
      <c r="D20" s="17"/>
      <c r="E20" s="17"/>
      <c r="F20" s="17"/>
      <c r="G20" s="17"/>
      <c r="H20" s="17"/>
      <c r="I20" s="17"/>
      <c r="J20" s="17"/>
      <c r="K20" s="17"/>
      <c r="L20" s="17"/>
      <c r="M20" s="17"/>
      <c r="N20" s="17" t="s">
        <v>963</v>
      </c>
    </row>
    <row r="21" spans="1:14" x14ac:dyDescent="0.3">
      <c r="A21" s="17" t="s">
        <v>964</v>
      </c>
      <c r="B21" s="17" t="s">
        <v>965</v>
      </c>
      <c r="C21" s="17"/>
      <c r="D21" s="17"/>
      <c r="E21" s="17"/>
      <c r="F21" s="17"/>
      <c r="G21" s="17"/>
      <c r="H21" s="17"/>
      <c r="I21" s="17"/>
      <c r="J21" s="17"/>
      <c r="K21" s="17"/>
      <c r="L21" s="17"/>
      <c r="M21" s="17"/>
      <c r="N21" s="17" t="s">
        <v>966</v>
      </c>
    </row>
    <row r="22" spans="1:14" x14ac:dyDescent="0.3">
      <c r="A22" s="17" t="s">
        <v>967</v>
      </c>
      <c r="B22" s="17" t="s">
        <v>968</v>
      </c>
      <c r="C22" s="17"/>
      <c r="D22" s="17"/>
      <c r="E22" s="17"/>
      <c r="F22" s="17"/>
      <c r="G22" s="17"/>
      <c r="H22" s="17"/>
      <c r="I22" s="17"/>
      <c r="J22" s="17"/>
      <c r="K22" s="17"/>
      <c r="L22" s="17"/>
      <c r="M22" s="17"/>
      <c r="N22" s="17" t="s">
        <v>969</v>
      </c>
    </row>
    <row r="23" spans="1:14" x14ac:dyDescent="0.3">
      <c r="A23" s="17" t="s">
        <v>970</v>
      </c>
      <c r="B23" s="17" t="s">
        <v>971</v>
      </c>
      <c r="C23" s="17"/>
      <c r="D23" s="17"/>
      <c r="E23" s="17"/>
      <c r="F23" s="17"/>
      <c r="G23" s="17"/>
      <c r="H23" s="17"/>
      <c r="I23" s="17"/>
      <c r="J23" s="17"/>
      <c r="K23" s="17"/>
      <c r="L23" s="17"/>
      <c r="M23" s="17"/>
      <c r="N23" s="17" t="s">
        <v>972</v>
      </c>
    </row>
    <row r="24" spans="1:14" x14ac:dyDescent="0.3">
      <c r="A24" s="17" t="s">
        <v>973</v>
      </c>
      <c r="B24" s="17" t="s">
        <v>974</v>
      </c>
      <c r="C24" s="17"/>
      <c r="D24" s="17"/>
      <c r="E24" s="17"/>
      <c r="F24" s="17"/>
      <c r="G24" s="17"/>
      <c r="H24" s="17"/>
      <c r="I24" s="17"/>
      <c r="J24" s="17"/>
      <c r="K24" s="17"/>
      <c r="L24" s="17"/>
      <c r="M24" s="17"/>
      <c r="N24" s="17" t="s">
        <v>975</v>
      </c>
    </row>
    <row r="25" spans="1:14" ht="22.8" x14ac:dyDescent="0.3">
      <c r="A25" s="17" t="s">
        <v>976</v>
      </c>
      <c r="B25" s="17" t="s">
        <v>977</v>
      </c>
      <c r="C25" s="17"/>
      <c r="D25" s="17"/>
      <c r="E25" s="17"/>
      <c r="F25" s="17"/>
      <c r="G25" s="17"/>
      <c r="H25" s="17"/>
      <c r="I25" s="17"/>
      <c r="J25" s="17"/>
      <c r="K25" s="17"/>
      <c r="L25" s="17"/>
      <c r="M25" s="17"/>
      <c r="N25" s="17" t="s">
        <v>978</v>
      </c>
    </row>
    <row r="26" spans="1:14" x14ac:dyDescent="0.3">
      <c r="A26" s="17" t="s">
        <v>979</v>
      </c>
      <c r="B26" s="17" t="s">
        <v>980</v>
      </c>
      <c r="C26" s="17"/>
      <c r="D26" s="17"/>
      <c r="E26" s="17"/>
      <c r="F26" s="17"/>
      <c r="G26" s="17"/>
      <c r="H26" s="17"/>
      <c r="I26" s="17"/>
      <c r="J26" s="17"/>
      <c r="K26" s="17"/>
      <c r="L26" s="17"/>
      <c r="M26" s="17"/>
      <c r="N26" s="17" t="s">
        <v>981</v>
      </c>
    </row>
    <row r="27" spans="1:14" x14ac:dyDescent="0.3">
      <c r="A27" s="17" t="s">
        <v>982</v>
      </c>
      <c r="B27" s="17" t="s">
        <v>983</v>
      </c>
      <c r="C27" s="17"/>
      <c r="D27" s="17"/>
      <c r="E27" s="17"/>
      <c r="F27" s="17"/>
      <c r="G27" s="17"/>
      <c r="H27" s="17"/>
      <c r="I27" s="17"/>
      <c r="J27" s="17"/>
      <c r="K27" s="17"/>
      <c r="L27" s="17"/>
      <c r="M27" s="17"/>
      <c r="N27" s="17" t="s">
        <v>984</v>
      </c>
    </row>
    <row r="28" spans="1:14" x14ac:dyDescent="0.3">
      <c r="A28" s="17" t="s">
        <v>985</v>
      </c>
      <c r="B28" s="17" t="s">
        <v>986</v>
      </c>
      <c r="C28" s="17"/>
      <c r="D28" s="17"/>
      <c r="E28" s="17"/>
      <c r="F28" s="17"/>
      <c r="G28" s="17"/>
      <c r="H28" s="17"/>
      <c r="I28" s="17"/>
      <c r="J28" s="17"/>
      <c r="K28" s="17"/>
      <c r="L28" s="17"/>
      <c r="M28" s="17"/>
      <c r="N28" s="17" t="s">
        <v>987</v>
      </c>
    </row>
  </sheetData>
  <autoFilter ref="A1:N28" xr:uid="{00000000-0009-0000-0000-000003000000}"/>
  <dataValidations count="2">
    <dataValidation type="list" allowBlank="1" sqref="I2:I100" xr:uid="{00000000-0002-0000-0300-000000000000}">
      <formula1>"L0 - Physical Process,L1 - Basic Control,L2 - Area Supervisory,L3 - Site Operations,L3.5 - DMZ,L4 - Enterprise,L5 - Internet/Cloud"</formula1>
      <formula2>0</formula2>
    </dataValidation>
    <dataValidation type="list" allowBlank="1" sqref="J2:J100" xr:uid="{00000000-0002-0000-0300-000001000000}">
      <formula1>"SIL 4 - Safety Critical,SIL 3 - High,SIL 2 - Medium,SIL 1 - Low,Non-SIL,N/A"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AE101"/>
  <sheetViews>
    <sheetView zoomScaleNormal="100" workbookViewId="0">
      <pane xSplit="5" ySplit="1" topLeftCell="F2" activePane="bottomRight" state="frozen"/>
      <selection pane="topRight" activeCell="F1" sqref="F1"/>
      <selection pane="bottomLeft" activeCell="A2" sqref="A2"/>
      <selection pane="bottomRight" activeCell="A2" sqref="A2"/>
    </sheetView>
  </sheetViews>
  <sheetFormatPr defaultColWidth="8.6640625" defaultRowHeight="14.4" x14ac:dyDescent="0.3"/>
  <cols>
    <col min="1" max="1" width="10" customWidth="1"/>
    <col min="2" max="2" width="14" customWidth="1"/>
    <col min="3" max="3" width="10" customWidth="1"/>
    <col min="4" max="4" width="50" customWidth="1"/>
    <col min="5" max="5" width="35" customWidth="1"/>
    <col min="6" max="6" width="8" customWidth="1"/>
    <col min="7" max="7" width="35" customWidth="1"/>
    <col min="8" max="8" width="26.88671875" bestFit="1" customWidth="1"/>
    <col min="9" max="9" width="12" customWidth="1"/>
    <col min="10" max="10" width="18" customWidth="1"/>
    <col min="11" max="11" width="35" customWidth="1"/>
    <col min="12" max="12" width="14" customWidth="1"/>
    <col min="13" max="13" width="18" customWidth="1"/>
    <col min="14" max="14" width="20" customWidth="1"/>
    <col min="15" max="17" width="18" customWidth="1"/>
    <col min="18" max="18" width="25" customWidth="1"/>
    <col min="19" max="20" width="30" customWidth="1"/>
    <col min="21" max="21" width="14" customWidth="1"/>
    <col min="22" max="22" width="25" customWidth="1"/>
    <col min="23" max="23" width="20" customWidth="1"/>
    <col min="24" max="24" width="25" customWidth="1"/>
    <col min="25" max="26" width="35" customWidth="1"/>
    <col min="27" max="28" width="30" customWidth="1"/>
    <col min="29" max="29" width="14" customWidth="1"/>
    <col min="30" max="30" width="35" customWidth="1"/>
    <col min="31" max="31" width="16" customWidth="1"/>
  </cols>
  <sheetData>
    <row r="1" spans="1:31" ht="26.4" x14ac:dyDescent="0.3">
      <c r="A1" s="16" t="s">
        <v>988</v>
      </c>
      <c r="B1" s="16" t="s">
        <v>989</v>
      </c>
      <c r="C1" s="16" t="s">
        <v>33</v>
      </c>
      <c r="D1" s="16" t="s">
        <v>35</v>
      </c>
      <c r="E1" s="16" t="s">
        <v>36</v>
      </c>
      <c r="F1" s="16" t="s">
        <v>990</v>
      </c>
      <c r="G1" s="43" t="s">
        <v>1336</v>
      </c>
      <c r="H1" s="43" t="s">
        <v>1343</v>
      </c>
      <c r="I1" s="16" t="s">
        <v>991</v>
      </c>
      <c r="J1" s="16" t="s">
        <v>992</v>
      </c>
      <c r="K1" s="16" t="s">
        <v>993</v>
      </c>
      <c r="L1" s="16" t="s">
        <v>994</v>
      </c>
      <c r="M1" s="16" t="s">
        <v>995</v>
      </c>
      <c r="N1" s="16" t="s">
        <v>996</v>
      </c>
      <c r="O1" s="16" t="s">
        <v>997</v>
      </c>
      <c r="P1" s="16" t="s">
        <v>998</v>
      </c>
      <c r="Q1" s="16" t="s">
        <v>999</v>
      </c>
      <c r="R1" s="16" t="s">
        <v>1000</v>
      </c>
      <c r="S1" s="16" t="s">
        <v>1001</v>
      </c>
      <c r="T1" s="16" t="s">
        <v>1002</v>
      </c>
      <c r="U1" s="16" t="s">
        <v>1003</v>
      </c>
      <c r="V1" s="16" t="s">
        <v>1004</v>
      </c>
      <c r="W1" s="16" t="s">
        <v>1005</v>
      </c>
      <c r="X1" s="16" t="s">
        <v>1006</v>
      </c>
      <c r="Y1" s="16" t="s">
        <v>1007</v>
      </c>
      <c r="Z1" s="16" t="s">
        <v>1008</v>
      </c>
      <c r="AA1" s="16" t="s">
        <v>1009</v>
      </c>
      <c r="AB1" s="16" t="s">
        <v>1010</v>
      </c>
      <c r="AC1" s="16" t="s">
        <v>1011</v>
      </c>
      <c r="AD1" s="16" t="s">
        <v>1012</v>
      </c>
      <c r="AE1" s="16" t="s">
        <v>1013</v>
      </c>
    </row>
    <row r="2" spans="1:31" x14ac:dyDescent="0.3">
      <c r="A2" s="17" t="s">
        <v>1014</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row>
    <row r="3" spans="1:31" x14ac:dyDescent="0.3">
      <c r="A3" s="17" t="s">
        <v>1015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x14ac:dyDescent="0.3">
      <c r="A4" s="17" t="s">
        <v>1016</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row>
    <row r="5" spans="1:31" x14ac:dyDescent="0.3">
      <c r="A5" s="17" t="s">
        <v>1017</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row>
    <row r="6" spans="1:31" x14ac:dyDescent="0.3">
      <c r="A6" s="17" t="s">
        <v>1018</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row>
    <row r="7" spans="1:31" x14ac:dyDescent="0.3">
      <c r="A7" s="17" t="s">
        <v>1019</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row>
    <row r="8" spans="1:31" x14ac:dyDescent="0.3">
      <c r="A8" s="17" t="s">
        <v>1020</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row>
    <row r="9" spans="1:31" x14ac:dyDescent="0.3">
      <c r="A9" s="17" t="s">
        <v>1021</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row>
    <row r="10" spans="1:31" x14ac:dyDescent="0.3">
      <c r="A10" s="17" t="s">
        <v>1022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row>
    <row r="11" spans="1:31" x14ac:dyDescent="0.3">
      <c r="A11" s="17" t="s">
        <v>1023</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row>
    <row r="12" spans="1:31" x14ac:dyDescent="0.3">
      <c r="A12" s="17" t="s">
        <v>1024</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row>
    <row r="13" spans="1:31" x14ac:dyDescent="0.3">
      <c r="A13" s="17" t="s">
        <v>1025</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row>
    <row r="14" spans="1:31" x14ac:dyDescent="0.3">
      <c r="A14" s="17" t="s">
        <v>1026</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row>
    <row r="15" spans="1:31" x14ac:dyDescent="0.3">
      <c r="A15" s="17" t="s">
        <v>1027</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row>
    <row r="16" spans="1:31" x14ac:dyDescent="0.3">
      <c r="A16" s="17" t="s">
        <v>1028</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row>
    <row r="17" spans="1:31" x14ac:dyDescent="0.3">
      <c r="A17" s="17" t="s">
        <v>1029</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row>
    <row r="18" spans="1:31" x14ac:dyDescent="0.3">
      <c r="A18" s="17" t="s">
        <v>1030</v>
      </c>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spans="1:31" x14ac:dyDescent="0.3">
      <c r="A19" s="17" t="s">
        <v>1031</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row>
    <row r="20" spans="1:31" x14ac:dyDescent="0.3">
      <c r="A20" s="17" t="s">
        <v>1032</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row>
    <row r="21" spans="1:31" x14ac:dyDescent="0.3">
      <c r="A21" s="17" t="s">
        <v>1033</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row>
    <row r="22" spans="1:31" x14ac:dyDescent="0.3">
      <c r="A22" s="17" t="s">
        <v>1034</v>
      </c>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row>
    <row r="23" spans="1:31" x14ac:dyDescent="0.3">
      <c r="A23" s="17" t="s">
        <v>1035</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row>
    <row r="24" spans="1:31" x14ac:dyDescent="0.3">
      <c r="A24" s="17" t="s">
        <v>1036</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row>
    <row r="25" spans="1:31" x14ac:dyDescent="0.3">
      <c r="A25" s="17" t="s">
        <v>1037</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row>
    <row r="26" spans="1:31" x14ac:dyDescent="0.3">
      <c r="A26" s="17" t="s">
        <v>1038</v>
      </c>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row>
    <row r="27" spans="1:31" x14ac:dyDescent="0.3">
      <c r="A27" s="17" t="s">
        <v>1039</v>
      </c>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row>
    <row r="28" spans="1:31" x14ac:dyDescent="0.3">
      <c r="A28" s="17" t="s">
        <v>1040</v>
      </c>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row>
    <row r="29" spans="1:31" x14ac:dyDescent="0.3">
      <c r="A29" s="17" t="s">
        <v>1041</v>
      </c>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row>
    <row r="30" spans="1:31" x14ac:dyDescent="0.3">
      <c r="A30" s="17" t="s">
        <v>1042</v>
      </c>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row>
    <row r="31" spans="1:31" x14ac:dyDescent="0.3">
      <c r="A31" s="17" t="s">
        <v>1043</v>
      </c>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row>
    <row r="32" spans="1:31" x14ac:dyDescent="0.3">
      <c r="A32" s="17" t="s">
        <v>1044</v>
      </c>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row>
    <row r="33" spans="1:31" x14ac:dyDescent="0.3">
      <c r="A33" s="17" t="s">
        <v>1045</v>
      </c>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row>
    <row r="34" spans="1:31" x14ac:dyDescent="0.3">
      <c r="A34" s="17" t="s">
        <v>1046</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row>
    <row r="35" spans="1:31" x14ac:dyDescent="0.3">
      <c r="A35" s="17" t="s">
        <v>1047</v>
      </c>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row>
    <row r="36" spans="1:31" x14ac:dyDescent="0.3">
      <c r="A36" s="17" t="s">
        <v>1048</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spans="1:31" x14ac:dyDescent="0.3">
      <c r="A37" s="17" t="s">
        <v>1049</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row>
    <row r="38" spans="1:31" x14ac:dyDescent="0.3">
      <c r="A38" s="17" t="s">
        <v>1050</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row>
    <row r="39" spans="1:31" x14ac:dyDescent="0.3">
      <c r="A39" s="17" t="s">
        <v>1051</v>
      </c>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row>
    <row r="40" spans="1:31" x14ac:dyDescent="0.3">
      <c r="A40" s="17" t="s">
        <v>1052</v>
      </c>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row>
    <row r="41" spans="1:31" x14ac:dyDescent="0.3">
      <c r="A41" s="17" t="s">
        <v>1053</v>
      </c>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row>
    <row r="42" spans="1:31" x14ac:dyDescent="0.3">
      <c r="A42" s="17" t="s">
        <v>1054</v>
      </c>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spans="1:31" x14ac:dyDescent="0.3">
      <c r="A43" s="17" t="s">
        <v>1055</v>
      </c>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row>
    <row r="44" spans="1:31" x14ac:dyDescent="0.3">
      <c r="A44" s="17" t="s">
        <v>1056</v>
      </c>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row>
    <row r="45" spans="1:31" x14ac:dyDescent="0.3">
      <c r="A45" s="17" t="s">
        <v>1057</v>
      </c>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row>
    <row r="46" spans="1:31" x14ac:dyDescent="0.3">
      <c r="A46" s="17" t="s">
        <v>1058</v>
      </c>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row>
    <row r="47" spans="1:31" x14ac:dyDescent="0.3">
      <c r="A47" s="17" t="s">
        <v>1059</v>
      </c>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row>
    <row r="48" spans="1:31" x14ac:dyDescent="0.3">
      <c r="A48" s="17" t="s">
        <v>1060</v>
      </c>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row>
    <row r="49" spans="1:31" x14ac:dyDescent="0.3">
      <c r="A49" s="17" t="s">
        <v>1061</v>
      </c>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row>
    <row r="50" spans="1:31" x14ac:dyDescent="0.3">
      <c r="A50" s="17" t="s">
        <v>1062</v>
      </c>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row>
    <row r="51" spans="1:31" x14ac:dyDescent="0.3">
      <c r="A51" s="17" t="s">
        <v>1063</v>
      </c>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row>
    <row r="52" spans="1:31" x14ac:dyDescent="0.3">
      <c r="A52" s="17" t="s">
        <v>1064</v>
      </c>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row>
    <row r="53" spans="1:31" x14ac:dyDescent="0.3">
      <c r="A53" s="17" t="s">
        <v>1065</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row>
    <row r="54" spans="1:31" x14ac:dyDescent="0.3">
      <c r="A54" s="17" t="s">
        <v>1066</v>
      </c>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row>
    <row r="55" spans="1:31" x14ac:dyDescent="0.3">
      <c r="A55" s="17" t="s">
        <v>1067</v>
      </c>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row>
    <row r="56" spans="1:31" x14ac:dyDescent="0.3">
      <c r="A56" s="17" t="s">
        <v>1068</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row>
    <row r="57" spans="1:31" x14ac:dyDescent="0.3">
      <c r="A57" s="17" t="s">
        <v>1069</v>
      </c>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row>
    <row r="58" spans="1:31" x14ac:dyDescent="0.3">
      <c r="A58" s="17" t="s">
        <v>1070</v>
      </c>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row>
    <row r="59" spans="1:31" x14ac:dyDescent="0.3">
      <c r="A59" s="17" t="s">
        <v>1071</v>
      </c>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row>
    <row r="60" spans="1:31" x14ac:dyDescent="0.3">
      <c r="A60" s="17" t="s">
        <v>1072</v>
      </c>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row>
    <row r="61" spans="1:31" x14ac:dyDescent="0.3">
      <c r="A61" s="17" t="s">
        <v>1073</v>
      </c>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row>
    <row r="62" spans="1:31" x14ac:dyDescent="0.3">
      <c r="A62" s="17" t="s">
        <v>1074</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row>
    <row r="63" spans="1:31" x14ac:dyDescent="0.3">
      <c r="A63" s="17" t="s">
        <v>1075</v>
      </c>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row>
    <row r="64" spans="1:31" x14ac:dyDescent="0.3">
      <c r="A64" s="17" t="s">
        <v>1076</v>
      </c>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row>
    <row r="65" spans="1:31" x14ac:dyDescent="0.3">
      <c r="A65" s="17" t="s">
        <v>1077</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row>
    <row r="66" spans="1:31" x14ac:dyDescent="0.3">
      <c r="A66" s="17" t="s">
        <v>1078</v>
      </c>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row>
    <row r="67" spans="1:31" x14ac:dyDescent="0.3">
      <c r="A67" s="17" t="s">
        <v>1079</v>
      </c>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row>
    <row r="68" spans="1:31" x14ac:dyDescent="0.3">
      <c r="A68" s="17" t="s">
        <v>1080</v>
      </c>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row>
    <row r="69" spans="1:31" x14ac:dyDescent="0.3">
      <c r="A69" s="17" t="s">
        <v>1081</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row>
    <row r="70" spans="1:31" x14ac:dyDescent="0.3">
      <c r="A70" s="17" t="s">
        <v>1082</v>
      </c>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row>
    <row r="71" spans="1:31" x14ac:dyDescent="0.3">
      <c r="A71" s="17" t="s">
        <v>1083</v>
      </c>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row>
    <row r="72" spans="1:31" x14ac:dyDescent="0.3">
      <c r="A72" s="17" t="s">
        <v>1084</v>
      </c>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row>
    <row r="73" spans="1:31" x14ac:dyDescent="0.3">
      <c r="A73" s="17" t="s">
        <v>1085</v>
      </c>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row>
    <row r="74" spans="1:31" x14ac:dyDescent="0.3">
      <c r="A74" s="17" t="s">
        <v>1086</v>
      </c>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row>
    <row r="75" spans="1:31" x14ac:dyDescent="0.3">
      <c r="A75" s="17" t="s">
        <v>1087</v>
      </c>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row>
    <row r="76" spans="1:31" x14ac:dyDescent="0.3">
      <c r="A76" s="17" t="s">
        <v>1088</v>
      </c>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row>
    <row r="77" spans="1:31" x14ac:dyDescent="0.3">
      <c r="A77" s="17" t="s">
        <v>1089</v>
      </c>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row>
    <row r="78" spans="1:31" x14ac:dyDescent="0.3">
      <c r="A78" s="17" t="s">
        <v>1090</v>
      </c>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row>
    <row r="79" spans="1:31" x14ac:dyDescent="0.3">
      <c r="A79" s="17" t="s">
        <v>1091</v>
      </c>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row>
    <row r="80" spans="1:31" x14ac:dyDescent="0.3">
      <c r="A80" s="17" t="s">
        <v>1092</v>
      </c>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row>
    <row r="81" spans="1:31" x14ac:dyDescent="0.3">
      <c r="A81" s="17" t="s">
        <v>1093</v>
      </c>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row>
    <row r="82" spans="1:31" x14ac:dyDescent="0.3">
      <c r="A82" s="17" t="s">
        <v>1094</v>
      </c>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row>
    <row r="83" spans="1:31" x14ac:dyDescent="0.3">
      <c r="A83" s="17" t="s">
        <v>1095</v>
      </c>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row>
    <row r="84" spans="1:31" x14ac:dyDescent="0.3">
      <c r="A84" s="17" t="s">
        <v>1096</v>
      </c>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row>
    <row r="85" spans="1:31" x14ac:dyDescent="0.3">
      <c r="A85" s="17" t="s">
        <v>1097</v>
      </c>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row>
    <row r="86" spans="1:31" x14ac:dyDescent="0.3">
      <c r="A86" s="17" t="s">
        <v>1098</v>
      </c>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row>
    <row r="87" spans="1:31" x14ac:dyDescent="0.3">
      <c r="A87" s="17" t="s">
        <v>1099</v>
      </c>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row>
    <row r="88" spans="1:31" x14ac:dyDescent="0.3">
      <c r="A88" s="17" t="s">
        <v>1100</v>
      </c>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row>
    <row r="89" spans="1:31" x14ac:dyDescent="0.3">
      <c r="A89" s="17" t="s">
        <v>1101</v>
      </c>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row>
    <row r="90" spans="1:31" x14ac:dyDescent="0.3">
      <c r="A90" s="17" t="s">
        <v>1102</v>
      </c>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row>
    <row r="91" spans="1:31" x14ac:dyDescent="0.3">
      <c r="A91" s="17" t="s">
        <v>1103</v>
      </c>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row>
    <row r="92" spans="1:31" x14ac:dyDescent="0.3">
      <c r="A92" s="17" t="s">
        <v>1104</v>
      </c>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row>
    <row r="93" spans="1:31" x14ac:dyDescent="0.3">
      <c r="A93" s="17" t="s">
        <v>1105</v>
      </c>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row>
    <row r="94" spans="1:31" x14ac:dyDescent="0.3">
      <c r="A94" s="17" t="s">
        <v>1106</v>
      </c>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row>
    <row r="95" spans="1:31" x14ac:dyDescent="0.3">
      <c r="A95" s="17" t="s">
        <v>1107</v>
      </c>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row>
    <row r="96" spans="1:31" x14ac:dyDescent="0.3">
      <c r="A96" s="17" t="s">
        <v>1108</v>
      </c>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row>
    <row r="97" spans="1:31" x14ac:dyDescent="0.3">
      <c r="A97" s="17" t="s">
        <v>1109</v>
      </c>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row>
    <row r="98" spans="1:31" x14ac:dyDescent="0.3">
      <c r="A98" s="17" t="s">
        <v>1110</v>
      </c>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row>
    <row r="99" spans="1:31" x14ac:dyDescent="0.3">
      <c r="A99" s="17" t="s">
        <v>1111</v>
      </c>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row>
    <row r="100" spans="1:31" x14ac:dyDescent="0.3">
      <c r="A100" s="17" t="s">
        <v>1112</v>
      </c>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row>
    <row r="101" spans="1:31" x14ac:dyDescent="0.3">
      <c r="A101" s="17" t="s">
        <v>1113</v>
      </c>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row>
  </sheetData>
  <autoFilter ref="A1:AE101" xr:uid="{00000000-0009-0000-0000-000004000000}"/>
  <conditionalFormatting sqref="L2:L101">
    <cfRule type="cellIs" dxfId="10" priority="2" operator="equal">
      <formula>"Critical"</formula>
    </cfRule>
    <cfRule type="cellIs" dxfId="9" priority="3" operator="equal">
      <formula>"High"</formula>
    </cfRule>
    <cfRule type="cellIs" dxfId="8" priority="4" operator="equal">
      <formula>"Medium"</formula>
    </cfRule>
    <cfRule type="cellIs" dxfId="7" priority="5" operator="equal">
      <formula>"Low"</formula>
    </cfRule>
  </conditionalFormatting>
  <conditionalFormatting sqref="U2:U101">
    <cfRule type="cellIs" dxfId="6" priority="6" operator="equal">
      <formula>"Pass"</formula>
    </cfRule>
    <cfRule type="cellIs" dxfId="5" priority="7" operator="equal">
      <formula>"Fail"</formula>
    </cfRule>
    <cfRule type="cellIs" dxfId="4" priority="8" operator="equal">
      <formula>"Partial"</formula>
    </cfRule>
  </conditionalFormatting>
  <dataValidations count="10">
    <dataValidation type="list" allowBlank="1" sqref="D2:D101" xr:uid="{00000000-0002-0000-0400-000001000000}">
      <formula1>"FR1 - Identification and Authentication Control (IAC),FR2 - Use Control (UC),FR3 - System Integrity (SI),FR4 - Data Confidentiality (DC),FR5 - Restricted Data Flow (RDF),FR6 - Timely Response to Events (TRE),FR7 - Resource Availability (RA),PLC Top 20 Sec"</formula1>
      <formula2>0</formula2>
    </dataValidation>
    <dataValidation type="list" allowBlank="1" sqref="F2:F101" xr:uid="{00000000-0002-0000-0400-000004000000}">
      <formula1>"SL-0,SL-1,SL-2,SL-3,SL-4"</formula1>
      <formula2>0</formula2>
    </dataValidation>
    <dataValidation type="list" allowBlank="1" sqref="L2:L101" xr:uid="{00000000-0002-0000-0400-000005000000}">
      <formula1>"Critical,High,Medium,Low,Not Applicable,None"</formula1>
      <formula2>0</formula2>
    </dataValidation>
    <dataValidation type="list" allowBlank="1" sqref="J2:J101" xr:uid="{00000000-0002-0000-0400-000006000000}">
      <formula1>"Critical (9.0-10.0),High (7.0-8.9),Medium (4.0-6.9),Low (0.1-3.9),None (0.0)"</formula1>
      <formula2>0</formula2>
    </dataValidation>
    <dataValidation type="list" allowBlank="1" sqref="U2:U101" xr:uid="{00000000-0002-0000-0400-000007000000}">
      <formula1>"Pass,Fail,Partial,Not Tested,Not Applicable,Deferred"</formula1>
      <formula2>0</formula2>
    </dataValidation>
    <dataValidation type="list" allowBlank="1" sqref="AC2:AC101" xr:uid="{00000000-0002-0000-0400-000009000000}">
      <formula1>"Almost Certain,Likely,Possible,Unlikely,Rare"</formula1>
      <formula2>0</formula2>
    </dataValidation>
    <dataValidation type="list" allowBlank="1" sqref="AA2:AA101" xr:uid="{00000000-0002-0000-0400-00000B000000}">
      <formula1>"T0879 Damage to Property,T0813 Denial of Control,T0815 Denial of View,T0826 Loss of Availability,T0827 Loss of Control,T0828 Loss of Productivity and Revenue,T0837 Loss of Protection,T0880 Loss of Safety,T0829 Loss of View,T0831 Manipulation of Control,T0"</formula1>
      <formula2>0</formula2>
    </dataValidation>
    <dataValidation type="list" allowBlank="1" sqref="AB2:AB101" xr:uid="{00000000-0002-0000-0400-00000C000000}">
      <formula1>"Loss of Life / Injury,Environmental Release,Equipment Damage,Production Loss,Financial Loss,Reputation Damage,Regulatory Violation,Data Breach / IP Theft,Loss of View,Loss of Control,Denial of Service,Safety System Bypass,Overpressure - potential rupture"</formula1>
      <formula2>0</formula2>
    </dataValidation>
    <dataValidation type="list" allowBlank="1" sqref="AE1:AE1048576" xr:uid="{516CAA09-6003-4C6F-BD5F-DEFB0DFB1230}">
      <formula1>"External Attacker, Third Party Party User, Nation State,Organized Crime,Hacktivist,Insider-Malicious,Insider-Accidental,Script Kiddie,None"</formula1>
    </dataValidation>
    <dataValidation type="list" allowBlank="1" sqref="Q1:Q1048576" xr:uid="{5E1BB00C-CEAD-49ED-AF87-B2F57C4E661E}">
      <formula1>"Manual Inspection,Automated Scan,Acceptance Test, Penetration Test,Configuration Review,Document Review,Interview,Observation,Functional Test,Code Review,Simulation"</formula1>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6">
        <x14:dataValidation type="list" allowBlank="1" error="Select from Requirements Library" xr:uid="{00000000-0002-0000-0400-000000000000}">
          <x14:formula1>
            <xm:f>'Requirements Library'!$A$2:$A$200</xm:f>
          </x14:formula1>
          <x14:formula2>
            <xm:f>0</xm:f>
          </x14:formula2>
          <xm:sqref>B2:B101</xm:sqref>
        </x14:dataValidation>
        <x14:dataValidation type="list" allowBlank="1" xr:uid="{00000000-0002-0000-0400-000003000000}">
          <x14:formula1>
            <xm:f>'Asset Inventory'!$N$2:$N$200</xm:f>
          </x14:formula1>
          <x14:formula2>
            <xm:f>0</xm:f>
          </x14:formula2>
          <xm:sqref>G2:G101</xm:sqref>
        </x14:dataValidation>
        <x14:dataValidation type="list" allowBlank="1" xr:uid="{8C3A55D2-15A8-44FB-826F-12DAEB0263D8}">
          <x14:formula1>
            <xm:f>'MITRE ATT&amp;CK ICS'!$E$2:$E$85</xm:f>
          </x14:formula1>
          <xm:sqref>AD1:AD1048576</xm:sqref>
        </x14:dataValidation>
        <x14:dataValidation type="list" allowBlank="1" showInputMessage="1" showErrorMessage="1" xr:uid="{06D212FD-15C9-4960-B108-620181B92EAD}">
          <x14:formula1>
            <xm:f>'Requirements Library'!$B$2:$B$102</xm:f>
          </x14:formula1>
          <xm:sqref>C2:C101</xm:sqref>
        </x14:dataValidation>
        <x14:dataValidation type="list" allowBlank="1" showInputMessage="1" showErrorMessage="1" xr:uid="{0E1B49A5-7BCE-4B4E-8854-061604DE996E}">
          <x14:formula1>
            <xm:f>'Requirements Library'!$E$2:$E$102</xm:f>
          </x14:formula1>
          <xm:sqref>E2:E101</xm:sqref>
        </x14:dataValidation>
        <x14:dataValidation type="list" allowBlank="1" xr:uid="{49F3015E-771B-4184-A611-87864A243816}">
          <x14:formula1>
            <xm:f>'Asset Inventory'!$C$2:$C$28</xm:f>
          </x14:formula1>
          <xm:sqref>H2:H1048576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E16"/>
  <sheetViews>
    <sheetView zoomScaleNormal="100" workbookViewId="0">
      <pane ySplit="1" topLeftCell="A2" activePane="bottomLeft" state="frozen"/>
      <selection pane="bottomLeft"/>
    </sheetView>
  </sheetViews>
  <sheetFormatPr defaultColWidth="8.6640625" defaultRowHeight="14.4" x14ac:dyDescent="0.3"/>
  <cols>
    <col min="1" max="1" width="22" customWidth="1"/>
    <col min="2" max="2" width="28" customWidth="1"/>
    <col min="3" max="3" width="6" customWidth="1"/>
    <col min="4" max="4" width="50" customWidth="1"/>
    <col min="5" max="5" width="45" customWidth="1"/>
  </cols>
  <sheetData>
    <row r="1" spans="1:5" x14ac:dyDescent="0.3">
      <c r="A1" s="20" t="s">
        <v>1114</v>
      </c>
      <c r="B1" s="20" t="s">
        <v>1115</v>
      </c>
      <c r="C1" s="20" t="s">
        <v>1116</v>
      </c>
      <c r="D1" s="20" t="s">
        <v>1117</v>
      </c>
      <c r="E1" s="20" t="s">
        <v>1118</v>
      </c>
    </row>
    <row r="2" spans="1:5" x14ac:dyDescent="0.3">
      <c r="A2" s="17" t="s">
        <v>1119</v>
      </c>
      <c r="B2" s="17" t="s">
        <v>1120</v>
      </c>
      <c r="C2" s="17" t="s">
        <v>1121</v>
      </c>
      <c r="D2" s="17" t="s">
        <v>1122</v>
      </c>
      <c r="E2" s="17" t="s">
        <v>1123</v>
      </c>
    </row>
    <row r="3" spans="1:5" x14ac:dyDescent="0.3">
      <c r="A3" s="17" t="s">
        <v>1119</v>
      </c>
      <c r="B3" s="17" t="s">
        <v>1124</v>
      </c>
      <c r="C3" s="17" t="s">
        <v>1125</v>
      </c>
      <c r="D3" s="17" t="s">
        <v>1126</v>
      </c>
      <c r="E3" s="17" t="s">
        <v>1127</v>
      </c>
    </row>
    <row r="4" spans="1:5" x14ac:dyDescent="0.3">
      <c r="A4" s="17" t="s">
        <v>1119</v>
      </c>
      <c r="B4" s="17" t="s">
        <v>1128</v>
      </c>
      <c r="C4" s="17" t="s">
        <v>1129</v>
      </c>
      <c r="D4" s="17" t="s">
        <v>1130</v>
      </c>
      <c r="E4" s="17" t="s">
        <v>1131</v>
      </c>
    </row>
    <row r="5" spans="1:5" x14ac:dyDescent="0.3">
      <c r="A5" s="17" t="s">
        <v>1119</v>
      </c>
      <c r="B5" s="17" t="s">
        <v>1132</v>
      </c>
      <c r="C5" s="17" t="s">
        <v>1133</v>
      </c>
      <c r="D5" s="17" t="s">
        <v>1134</v>
      </c>
      <c r="E5" s="17" t="s">
        <v>1135</v>
      </c>
    </row>
    <row r="6" spans="1:5" x14ac:dyDescent="0.3">
      <c r="A6" s="17" t="s">
        <v>1119</v>
      </c>
      <c r="B6" s="17" t="s">
        <v>1136</v>
      </c>
      <c r="C6" s="17" t="s">
        <v>1137</v>
      </c>
      <c r="D6" s="17" t="s">
        <v>1138</v>
      </c>
      <c r="E6" s="17" t="s">
        <v>1139</v>
      </c>
    </row>
    <row r="7" spans="1:5" x14ac:dyDescent="0.3">
      <c r="A7" s="17" t="s">
        <v>1140</v>
      </c>
      <c r="B7" s="17" t="s">
        <v>1141</v>
      </c>
      <c r="C7" s="17" t="s">
        <v>1142</v>
      </c>
      <c r="D7" s="17" t="s">
        <v>1134</v>
      </c>
      <c r="E7" s="17" t="s">
        <v>1143</v>
      </c>
    </row>
    <row r="8" spans="1:5" x14ac:dyDescent="0.3">
      <c r="A8" s="17" t="s">
        <v>1140</v>
      </c>
      <c r="B8" s="17" t="s">
        <v>1144</v>
      </c>
      <c r="C8" s="17" t="s">
        <v>1145</v>
      </c>
      <c r="D8" s="17" t="s">
        <v>1134</v>
      </c>
      <c r="E8" s="17" t="s">
        <v>1146</v>
      </c>
    </row>
    <row r="9" spans="1:5" x14ac:dyDescent="0.3">
      <c r="A9" s="17" t="s">
        <v>1140</v>
      </c>
      <c r="B9" s="17" t="s">
        <v>1147</v>
      </c>
      <c r="C9" s="17" t="s">
        <v>1148</v>
      </c>
      <c r="D9" s="17" t="s">
        <v>1134</v>
      </c>
      <c r="E9" s="17" t="s">
        <v>1149</v>
      </c>
    </row>
    <row r="10" spans="1:5" x14ac:dyDescent="0.3">
      <c r="A10" s="17" t="s">
        <v>1150</v>
      </c>
      <c r="B10" s="17" t="s">
        <v>1151</v>
      </c>
      <c r="C10" s="17" t="s">
        <v>1152</v>
      </c>
      <c r="D10" s="17" t="s">
        <v>1134</v>
      </c>
      <c r="E10" s="17" t="s">
        <v>1153</v>
      </c>
    </row>
    <row r="11" spans="1:5" x14ac:dyDescent="0.3">
      <c r="A11" s="17" t="s">
        <v>1150</v>
      </c>
      <c r="B11" s="17" t="s">
        <v>1154</v>
      </c>
      <c r="C11" s="17" t="s">
        <v>1155</v>
      </c>
      <c r="D11" s="17" t="s">
        <v>1134</v>
      </c>
      <c r="E11" s="17" t="s">
        <v>1156</v>
      </c>
    </row>
    <row r="12" spans="1:5" x14ac:dyDescent="0.3">
      <c r="A12" s="17" t="s">
        <v>1150</v>
      </c>
      <c r="B12" s="17" t="s">
        <v>1157</v>
      </c>
      <c r="C12" s="17" t="s">
        <v>1158</v>
      </c>
      <c r="D12" s="17" t="s">
        <v>1134</v>
      </c>
      <c r="E12" s="17" t="s">
        <v>1159</v>
      </c>
    </row>
    <row r="13" spans="1:5" x14ac:dyDescent="0.3">
      <c r="A13" s="17" t="s">
        <v>1160</v>
      </c>
      <c r="B13" s="17" t="s">
        <v>1161</v>
      </c>
      <c r="C13" s="17" t="s">
        <v>1162</v>
      </c>
      <c r="D13" s="17" t="s">
        <v>1163</v>
      </c>
      <c r="E13" s="17" t="s">
        <v>1164</v>
      </c>
    </row>
    <row r="14" spans="1:5" x14ac:dyDescent="0.3">
      <c r="A14" s="17" t="s">
        <v>1160</v>
      </c>
      <c r="B14" s="17" t="s">
        <v>1165</v>
      </c>
      <c r="C14" s="17" t="s">
        <v>1166</v>
      </c>
      <c r="D14" s="17" t="s">
        <v>1167</v>
      </c>
      <c r="E14" s="17" t="s">
        <v>1168</v>
      </c>
    </row>
    <row r="15" spans="1:5" x14ac:dyDescent="0.3">
      <c r="A15" s="17" t="s">
        <v>1160</v>
      </c>
      <c r="B15" s="17" t="s">
        <v>1169</v>
      </c>
      <c r="C15" s="17" t="s">
        <v>1170</v>
      </c>
      <c r="D15" s="17" t="s">
        <v>1171</v>
      </c>
      <c r="E15" s="17" t="s">
        <v>1172</v>
      </c>
    </row>
    <row r="16" spans="1:5" x14ac:dyDescent="0.3">
      <c r="A16" s="17" t="s">
        <v>1173</v>
      </c>
      <c r="B16" s="17" t="s">
        <v>1174</v>
      </c>
      <c r="C16" s="17" t="s">
        <v>1175</v>
      </c>
      <c r="D16" s="17" t="s">
        <v>1176</v>
      </c>
      <c r="E16" s="17" t="s">
        <v>1177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4444"/>
  </sheetPr>
  <dimension ref="A1:F17"/>
  <sheetViews>
    <sheetView zoomScaleNormal="100" workbookViewId="0">
      <selection activeCell="A16" sqref="A16"/>
    </sheetView>
  </sheetViews>
  <sheetFormatPr defaultColWidth="8.6640625" defaultRowHeight="14.4" x14ac:dyDescent="0.3"/>
  <cols>
    <col min="1" max="6" width="28" customWidth="1"/>
  </cols>
  <sheetData>
    <row r="1" spans="1:6" ht="17.399999999999999" x14ac:dyDescent="0.3">
      <c r="A1" s="10" t="s">
        <v>1178</v>
      </c>
      <c r="B1" s="10"/>
      <c r="C1" s="10"/>
      <c r="D1" s="10"/>
      <c r="E1" s="10"/>
      <c r="F1" s="10"/>
    </row>
    <row r="3" spans="1:6" x14ac:dyDescent="0.3">
      <c r="A3" s="21" t="s">
        <v>1179</v>
      </c>
      <c r="B3" s="21" t="s">
        <v>1180</v>
      </c>
      <c r="C3" s="21" t="s">
        <v>1181</v>
      </c>
      <c r="D3" s="21" t="s">
        <v>1182</v>
      </c>
      <c r="E3" s="21" t="s">
        <v>1183</v>
      </c>
      <c r="F3" s="21" t="s">
        <v>1184</v>
      </c>
    </row>
    <row r="4" spans="1:6" x14ac:dyDescent="0.3">
      <c r="A4" s="14" t="s">
        <v>1185</v>
      </c>
      <c r="B4" s="22" t="s">
        <v>1181</v>
      </c>
      <c r="C4" s="22" t="s">
        <v>1181</v>
      </c>
      <c r="D4" s="22" t="s">
        <v>1181</v>
      </c>
      <c r="E4" s="23" t="s">
        <v>1186</v>
      </c>
      <c r="F4" s="23" t="s">
        <v>1186</v>
      </c>
    </row>
    <row r="5" spans="1:6" x14ac:dyDescent="0.3">
      <c r="A5" s="14" t="s">
        <v>1187</v>
      </c>
      <c r="B5" s="22" t="s">
        <v>1181</v>
      </c>
      <c r="C5" s="22" t="s">
        <v>1181</v>
      </c>
      <c r="D5" s="23" t="s">
        <v>1186</v>
      </c>
      <c r="E5" s="23" t="s">
        <v>1186</v>
      </c>
      <c r="F5" s="24" t="s">
        <v>1188</v>
      </c>
    </row>
    <row r="6" spans="1:6" x14ac:dyDescent="0.3">
      <c r="A6" s="14" t="s">
        <v>1189</v>
      </c>
      <c r="B6" s="22" t="s">
        <v>1181</v>
      </c>
      <c r="C6" s="23" t="s">
        <v>1186</v>
      </c>
      <c r="D6" s="23" t="s">
        <v>1186</v>
      </c>
      <c r="E6" s="24" t="s">
        <v>1188</v>
      </c>
      <c r="F6" s="24" t="s">
        <v>1188</v>
      </c>
    </row>
    <row r="7" spans="1:6" x14ac:dyDescent="0.3">
      <c r="A7" s="14" t="s">
        <v>1190</v>
      </c>
      <c r="B7" s="23" t="s">
        <v>1186</v>
      </c>
      <c r="C7" s="23" t="s">
        <v>1186</v>
      </c>
      <c r="D7" s="24" t="s">
        <v>1188</v>
      </c>
      <c r="E7" s="24" t="s">
        <v>1188</v>
      </c>
      <c r="F7" s="25" t="s">
        <v>1191</v>
      </c>
    </row>
    <row r="8" spans="1:6" x14ac:dyDescent="0.3">
      <c r="A8" s="14" t="s">
        <v>1192</v>
      </c>
      <c r="B8" s="23" t="s">
        <v>1186</v>
      </c>
      <c r="C8" s="24" t="s">
        <v>1188</v>
      </c>
      <c r="D8" s="25" t="s">
        <v>1191</v>
      </c>
      <c r="E8" s="25" t="s">
        <v>1191</v>
      </c>
      <c r="F8" s="25" t="s">
        <v>1191</v>
      </c>
    </row>
    <row r="11" spans="1:6" ht="17.399999999999999" x14ac:dyDescent="0.3">
      <c r="A11" s="10" t="s">
        <v>1193</v>
      </c>
      <c r="B11" s="10"/>
      <c r="C11" s="10"/>
      <c r="D11" s="10"/>
      <c r="E11" s="10"/>
      <c r="F11" s="10"/>
    </row>
    <row r="13" spans="1:6" x14ac:dyDescent="0.3">
      <c r="A13" s="26" t="s">
        <v>1194</v>
      </c>
      <c r="B13" s="26" t="s">
        <v>1195</v>
      </c>
      <c r="C13" s="26" t="s">
        <v>1196</v>
      </c>
      <c r="D13" s="26" t="s">
        <v>1197</v>
      </c>
      <c r="E13" s="26" t="s">
        <v>1198</v>
      </c>
      <c r="F13" s="26" t="s">
        <v>1199</v>
      </c>
    </row>
    <row r="14" spans="1:6" ht="22.8" x14ac:dyDescent="0.3">
      <c r="A14" s="17" t="s">
        <v>1200</v>
      </c>
      <c r="B14" s="17" t="s">
        <v>1329</v>
      </c>
      <c r="C14" s="17" t="s">
        <v>1201</v>
      </c>
      <c r="D14" s="17" t="s">
        <v>1181</v>
      </c>
      <c r="E14" s="17" t="s">
        <v>1202</v>
      </c>
      <c r="F14" s="17" t="s">
        <v>1203</v>
      </c>
    </row>
    <row r="15" spans="1:6" ht="34.200000000000003" x14ac:dyDescent="0.3">
      <c r="A15" s="44" t="s">
        <v>1337</v>
      </c>
      <c r="B15" s="17" t="s">
        <v>1330</v>
      </c>
      <c r="C15" s="17" t="s">
        <v>1204</v>
      </c>
      <c r="D15" s="17" t="s">
        <v>1186</v>
      </c>
      <c r="E15" s="17" t="s">
        <v>1331</v>
      </c>
      <c r="F15" s="17" t="s">
        <v>1332</v>
      </c>
    </row>
    <row r="16" spans="1:6" ht="34.200000000000003" x14ac:dyDescent="0.3">
      <c r="A16" s="17" t="s">
        <v>1205</v>
      </c>
      <c r="B16" s="17" t="s">
        <v>1206</v>
      </c>
      <c r="C16" s="17" t="s">
        <v>1207</v>
      </c>
      <c r="D16" s="17" t="s">
        <v>1188</v>
      </c>
      <c r="E16" s="17" t="s">
        <v>1333</v>
      </c>
      <c r="F16" s="17" t="s">
        <v>1334</v>
      </c>
    </row>
    <row r="17" spans="1:6" ht="22.8" x14ac:dyDescent="0.3">
      <c r="A17" s="17" t="s">
        <v>1208</v>
      </c>
      <c r="B17" s="17" t="s">
        <v>1209</v>
      </c>
      <c r="C17" s="17" t="s">
        <v>1210</v>
      </c>
      <c r="D17" s="17" t="s">
        <v>1211</v>
      </c>
      <c r="E17" s="17" t="s">
        <v>1212</v>
      </c>
      <c r="F17" s="17" t="s">
        <v>1335</v>
      </c>
    </row>
  </sheetData>
  <mergeCells count="2">
    <mergeCell ref="A1:F1"/>
    <mergeCell ref="A11:F1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O51"/>
  <sheetViews>
    <sheetView zoomScaleNormal="100" workbookViewId="0">
      <pane ySplit="1" topLeftCell="A2" activePane="bottomLeft" state="frozen"/>
      <selection pane="bottomLeft" activeCell="G2" sqref="G2"/>
    </sheetView>
  </sheetViews>
  <sheetFormatPr defaultColWidth="8.6640625" defaultRowHeight="14.4" x14ac:dyDescent="0.3"/>
  <cols>
    <col min="1" max="1" width="12" customWidth="1"/>
    <col min="2" max="2" width="22" customWidth="1"/>
    <col min="3" max="3" width="12" customWidth="1"/>
    <col min="4" max="4" width="35" customWidth="1"/>
    <col min="5" max="5" width="25" customWidth="1"/>
    <col min="6" max="6" width="12" customWidth="1"/>
    <col min="7" max="7" width="14" customWidth="1"/>
    <col min="8" max="8" width="35" customWidth="1"/>
    <col min="9" max="9" width="18" customWidth="1"/>
    <col min="10" max="10" width="14" customWidth="1"/>
    <col min="11" max="11" width="12" customWidth="1"/>
    <col min="12" max="12" width="10" customWidth="1"/>
    <col min="13" max="13" width="14" customWidth="1"/>
    <col min="14" max="14" width="18" customWidth="1"/>
    <col min="15" max="15" width="25" customWidth="1"/>
  </cols>
  <sheetData>
    <row r="1" spans="1:15" ht="26.4" x14ac:dyDescent="0.3">
      <c r="A1" s="20" t="s">
        <v>1213</v>
      </c>
      <c r="B1" s="20" t="s">
        <v>1214</v>
      </c>
      <c r="C1" s="20" t="s">
        <v>1215</v>
      </c>
      <c r="D1" s="20" t="s">
        <v>1118</v>
      </c>
      <c r="E1" s="20" t="s">
        <v>1216</v>
      </c>
      <c r="F1" s="20" t="s">
        <v>1197</v>
      </c>
      <c r="G1" s="20" t="s">
        <v>1217</v>
      </c>
      <c r="H1" s="20" t="s">
        <v>1218</v>
      </c>
      <c r="I1" s="20" t="s">
        <v>1219</v>
      </c>
      <c r="J1" s="20" t="s">
        <v>1220</v>
      </c>
      <c r="K1" s="20" t="s">
        <v>1221</v>
      </c>
      <c r="L1" s="20" t="s">
        <v>1222</v>
      </c>
      <c r="M1" s="20" t="s">
        <v>1223</v>
      </c>
      <c r="N1" s="20" t="s">
        <v>1224</v>
      </c>
      <c r="O1" s="20" t="s">
        <v>1225</v>
      </c>
    </row>
    <row r="2" spans="1:15" x14ac:dyDescent="0.3">
      <c r="A2" s="17" t="s">
        <v>1226</v>
      </c>
      <c r="B2" s="17"/>
      <c r="C2" s="17"/>
      <c r="D2" s="17"/>
      <c r="E2" s="17"/>
      <c r="F2" s="17"/>
      <c r="G2" s="17"/>
      <c r="H2" s="17"/>
      <c r="I2" s="17"/>
      <c r="J2" s="17"/>
      <c r="K2" s="17"/>
      <c r="L2" s="17" t="str">
        <f t="shared" ref="L2:L33" ca="1" si="0">IF(AND(K2&lt;&gt;"Closed",J2&lt;&gt;""),MAX(0,TODAY()-J2),"")</f>
        <v/>
      </c>
      <c r="M2" s="17"/>
      <c r="N2" s="17"/>
      <c r="O2" s="17"/>
    </row>
    <row r="3" spans="1:15" x14ac:dyDescent="0.3">
      <c r="A3" s="17" t="s">
        <v>1227</v>
      </c>
      <c r="B3" s="17"/>
      <c r="C3" s="17"/>
      <c r="D3" s="17"/>
      <c r="E3" s="17"/>
      <c r="F3" s="17"/>
      <c r="G3" s="17"/>
      <c r="H3" s="17"/>
      <c r="I3" s="17"/>
      <c r="J3" s="17"/>
      <c r="K3" s="17"/>
      <c r="L3" s="17" t="str">
        <f t="shared" ca="1" si="0"/>
        <v/>
      </c>
      <c r="M3" s="17"/>
      <c r="N3" s="17"/>
      <c r="O3" s="17"/>
    </row>
    <row r="4" spans="1:15" x14ac:dyDescent="0.3">
      <c r="A4" s="17" t="s">
        <v>1228</v>
      </c>
      <c r="B4" s="17"/>
      <c r="C4" s="17"/>
      <c r="D4" s="17"/>
      <c r="E4" s="17"/>
      <c r="F4" s="17"/>
      <c r="G4" s="17"/>
      <c r="H4" s="17"/>
      <c r="I4" s="17"/>
      <c r="J4" s="17"/>
      <c r="K4" s="17"/>
      <c r="L4" s="17" t="str">
        <f t="shared" ca="1" si="0"/>
        <v/>
      </c>
      <c r="M4" s="17"/>
      <c r="N4" s="17"/>
      <c r="O4" s="17"/>
    </row>
    <row r="5" spans="1:15" x14ac:dyDescent="0.3">
      <c r="A5" s="17" t="s">
        <v>1229</v>
      </c>
      <c r="B5" s="17"/>
      <c r="C5" s="17"/>
      <c r="D5" s="17"/>
      <c r="E5" s="17"/>
      <c r="F5" s="17"/>
      <c r="G5" s="17"/>
      <c r="H5" s="17"/>
      <c r="I5" s="17"/>
      <c r="J5" s="17"/>
      <c r="K5" s="17"/>
      <c r="L5" s="17" t="str">
        <f t="shared" ca="1" si="0"/>
        <v/>
      </c>
      <c r="M5" s="17"/>
      <c r="N5" s="17"/>
      <c r="O5" s="17"/>
    </row>
    <row r="6" spans="1:15" x14ac:dyDescent="0.3">
      <c r="A6" s="17" t="s">
        <v>1230</v>
      </c>
      <c r="B6" s="17"/>
      <c r="C6" s="17"/>
      <c r="D6" s="17"/>
      <c r="E6" s="17"/>
      <c r="F6" s="17"/>
      <c r="G6" s="17"/>
      <c r="H6" s="17"/>
      <c r="I6" s="17"/>
      <c r="J6" s="17"/>
      <c r="K6" s="17"/>
      <c r="L6" s="17" t="str">
        <f t="shared" ca="1" si="0"/>
        <v/>
      </c>
      <c r="M6" s="17"/>
      <c r="N6" s="17"/>
      <c r="O6" s="17"/>
    </row>
    <row r="7" spans="1:15" x14ac:dyDescent="0.3">
      <c r="A7" s="17" t="s">
        <v>1231</v>
      </c>
      <c r="B7" s="17"/>
      <c r="C7" s="17"/>
      <c r="D7" s="17"/>
      <c r="E7" s="17"/>
      <c r="F7" s="17"/>
      <c r="G7" s="17"/>
      <c r="H7" s="17"/>
      <c r="I7" s="17"/>
      <c r="J7" s="17"/>
      <c r="K7" s="17"/>
      <c r="L7" s="17" t="str">
        <f t="shared" ca="1" si="0"/>
        <v/>
      </c>
      <c r="M7" s="17"/>
      <c r="N7" s="17"/>
      <c r="O7" s="17"/>
    </row>
    <row r="8" spans="1:15" x14ac:dyDescent="0.3">
      <c r="A8" s="17" t="s">
        <v>1232</v>
      </c>
      <c r="B8" s="17"/>
      <c r="C8" s="17"/>
      <c r="D8" s="17"/>
      <c r="E8" s="17"/>
      <c r="F8" s="17"/>
      <c r="G8" s="17"/>
      <c r="H8" s="17"/>
      <c r="I8" s="17"/>
      <c r="J8" s="17"/>
      <c r="K8" s="17"/>
      <c r="L8" s="17" t="str">
        <f t="shared" ca="1" si="0"/>
        <v/>
      </c>
      <c r="M8" s="17"/>
      <c r="N8" s="17"/>
      <c r="O8" s="17"/>
    </row>
    <row r="9" spans="1:15" x14ac:dyDescent="0.3">
      <c r="A9" s="17" t="s">
        <v>1233</v>
      </c>
      <c r="B9" s="17"/>
      <c r="C9" s="17"/>
      <c r="D9" s="17"/>
      <c r="E9" s="17"/>
      <c r="F9" s="17"/>
      <c r="G9" s="17"/>
      <c r="H9" s="17"/>
      <c r="I9" s="17"/>
      <c r="J9" s="17"/>
      <c r="K9" s="17"/>
      <c r="L9" s="17" t="str">
        <f t="shared" ca="1" si="0"/>
        <v/>
      </c>
      <c r="M9" s="17"/>
      <c r="N9" s="17"/>
      <c r="O9" s="17"/>
    </row>
    <row r="10" spans="1:15" x14ac:dyDescent="0.3">
      <c r="A10" s="17" t="s">
        <v>1234</v>
      </c>
      <c r="B10" s="17"/>
      <c r="C10" s="17"/>
      <c r="D10" s="17"/>
      <c r="E10" s="17"/>
      <c r="F10" s="17"/>
      <c r="G10" s="17"/>
      <c r="H10" s="17"/>
      <c r="I10" s="17"/>
      <c r="J10" s="17"/>
      <c r="K10" s="17"/>
      <c r="L10" s="17" t="str">
        <f t="shared" ca="1" si="0"/>
        <v/>
      </c>
      <c r="M10" s="17"/>
      <c r="N10" s="17"/>
      <c r="O10" s="17"/>
    </row>
    <row r="11" spans="1:15" x14ac:dyDescent="0.3">
      <c r="A11" s="17" t="s">
        <v>1235</v>
      </c>
      <c r="B11" s="17"/>
      <c r="C11" s="17"/>
      <c r="D11" s="17"/>
      <c r="E11" s="17"/>
      <c r="F11" s="17"/>
      <c r="G11" s="17"/>
      <c r="H11" s="17"/>
      <c r="I11" s="17"/>
      <c r="J11" s="17"/>
      <c r="K11" s="17"/>
      <c r="L11" s="17" t="str">
        <f t="shared" ca="1" si="0"/>
        <v/>
      </c>
      <c r="M11" s="17"/>
      <c r="N11" s="17"/>
      <c r="O11" s="17"/>
    </row>
    <row r="12" spans="1:15" x14ac:dyDescent="0.3">
      <c r="A12" s="17" t="s">
        <v>1236</v>
      </c>
      <c r="B12" s="17"/>
      <c r="C12" s="17"/>
      <c r="D12" s="17"/>
      <c r="E12" s="17"/>
      <c r="F12" s="17"/>
      <c r="G12" s="17"/>
      <c r="H12" s="17"/>
      <c r="I12" s="17"/>
      <c r="J12" s="17"/>
      <c r="K12" s="17"/>
      <c r="L12" s="17" t="str">
        <f t="shared" ca="1" si="0"/>
        <v/>
      </c>
      <c r="M12" s="17"/>
      <c r="N12" s="17"/>
      <c r="O12" s="17"/>
    </row>
    <row r="13" spans="1:15" x14ac:dyDescent="0.3">
      <c r="A13" s="17" t="s">
        <v>1237</v>
      </c>
      <c r="B13" s="17"/>
      <c r="C13" s="17"/>
      <c r="D13" s="17"/>
      <c r="E13" s="17"/>
      <c r="F13" s="17"/>
      <c r="G13" s="17"/>
      <c r="H13" s="17"/>
      <c r="I13" s="17"/>
      <c r="J13" s="17"/>
      <c r="K13" s="17"/>
      <c r="L13" s="17" t="str">
        <f t="shared" ca="1" si="0"/>
        <v/>
      </c>
      <c r="M13" s="17"/>
      <c r="N13" s="17"/>
      <c r="O13" s="17"/>
    </row>
    <row r="14" spans="1:15" x14ac:dyDescent="0.3">
      <c r="A14" s="17" t="s">
        <v>1238</v>
      </c>
      <c r="B14" s="17"/>
      <c r="C14" s="17"/>
      <c r="D14" s="17"/>
      <c r="E14" s="17"/>
      <c r="F14" s="17"/>
      <c r="G14" s="17"/>
      <c r="H14" s="17"/>
      <c r="I14" s="17"/>
      <c r="J14" s="17"/>
      <c r="K14" s="17"/>
      <c r="L14" s="17" t="str">
        <f t="shared" ca="1" si="0"/>
        <v/>
      </c>
      <c r="M14" s="17"/>
      <c r="N14" s="17"/>
      <c r="O14" s="17"/>
    </row>
    <row r="15" spans="1:15" x14ac:dyDescent="0.3">
      <c r="A15" s="17" t="s">
        <v>1239</v>
      </c>
      <c r="B15" s="17"/>
      <c r="C15" s="17"/>
      <c r="D15" s="17"/>
      <c r="E15" s="17"/>
      <c r="F15" s="17"/>
      <c r="G15" s="17"/>
      <c r="H15" s="17"/>
      <c r="I15" s="17"/>
      <c r="J15" s="17"/>
      <c r="K15" s="17"/>
      <c r="L15" s="17" t="str">
        <f t="shared" ca="1" si="0"/>
        <v/>
      </c>
      <c r="M15" s="17"/>
      <c r="N15" s="17"/>
      <c r="O15" s="17"/>
    </row>
    <row r="16" spans="1:15" x14ac:dyDescent="0.3">
      <c r="A16" s="17" t="s">
        <v>1240</v>
      </c>
      <c r="B16" s="17"/>
      <c r="C16" s="17"/>
      <c r="D16" s="17"/>
      <c r="E16" s="17"/>
      <c r="F16" s="17"/>
      <c r="G16" s="17"/>
      <c r="H16" s="17"/>
      <c r="I16" s="17"/>
      <c r="J16" s="17"/>
      <c r="K16" s="17"/>
      <c r="L16" s="17" t="str">
        <f t="shared" ca="1" si="0"/>
        <v/>
      </c>
      <c r="M16" s="17"/>
      <c r="N16" s="17"/>
      <c r="O16" s="17"/>
    </row>
    <row r="17" spans="1:15" x14ac:dyDescent="0.3">
      <c r="A17" s="17" t="s">
        <v>1241</v>
      </c>
      <c r="B17" s="17"/>
      <c r="C17" s="17"/>
      <c r="D17" s="17"/>
      <c r="E17" s="17"/>
      <c r="F17" s="17"/>
      <c r="G17" s="17"/>
      <c r="H17" s="17"/>
      <c r="I17" s="17"/>
      <c r="J17" s="17"/>
      <c r="K17" s="17"/>
      <c r="L17" s="17" t="str">
        <f t="shared" ca="1" si="0"/>
        <v/>
      </c>
      <c r="M17" s="17"/>
      <c r="N17" s="17"/>
      <c r="O17" s="17"/>
    </row>
    <row r="18" spans="1:15" x14ac:dyDescent="0.3">
      <c r="A18" s="17" t="s">
        <v>1242</v>
      </c>
      <c r="B18" s="17"/>
      <c r="C18" s="17"/>
      <c r="D18" s="17"/>
      <c r="E18" s="17"/>
      <c r="F18" s="17"/>
      <c r="G18" s="17"/>
      <c r="H18" s="17"/>
      <c r="I18" s="17"/>
      <c r="J18" s="17"/>
      <c r="K18" s="17"/>
      <c r="L18" s="17" t="str">
        <f t="shared" ca="1" si="0"/>
        <v/>
      </c>
      <c r="M18" s="17"/>
      <c r="N18" s="17"/>
      <c r="O18" s="17"/>
    </row>
    <row r="19" spans="1:15" x14ac:dyDescent="0.3">
      <c r="A19" s="17" t="s">
        <v>1243</v>
      </c>
      <c r="B19" s="17"/>
      <c r="C19" s="17"/>
      <c r="D19" s="17"/>
      <c r="E19" s="17"/>
      <c r="F19" s="17"/>
      <c r="G19" s="17"/>
      <c r="H19" s="17"/>
      <c r="I19" s="17"/>
      <c r="J19" s="17"/>
      <c r="K19" s="17"/>
      <c r="L19" s="17" t="str">
        <f t="shared" ca="1" si="0"/>
        <v/>
      </c>
      <c r="M19" s="17"/>
      <c r="N19" s="17"/>
      <c r="O19" s="17"/>
    </row>
    <row r="20" spans="1:15" x14ac:dyDescent="0.3">
      <c r="A20" s="17" t="s">
        <v>1244</v>
      </c>
      <c r="B20" s="17"/>
      <c r="C20" s="17"/>
      <c r="D20" s="17"/>
      <c r="E20" s="17"/>
      <c r="F20" s="17"/>
      <c r="G20" s="17"/>
      <c r="H20" s="17"/>
      <c r="I20" s="17"/>
      <c r="J20" s="17"/>
      <c r="K20" s="17"/>
      <c r="L20" s="17" t="str">
        <f t="shared" ca="1" si="0"/>
        <v/>
      </c>
      <c r="M20" s="17"/>
      <c r="N20" s="17"/>
      <c r="O20" s="17"/>
    </row>
    <row r="21" spans="1:15" x14ac:dyDescent="0.3">
      <c r="A21" s="17" t="s">
        <v>1245</v>
      </c>
      <c r="B21" s="17"/>
      <c r="C21" s="17"/>
      <c r="D21" s="17"/>
      <c r="E21" s="17"/>
      <c r="F21" s="17"/>
      <c r="G21" s="17"/>
      <c r="H21" s="17"/>
      <c r="I21" s="17"/>
      <c r="J21" s="17"/>
      <c r="K21" s="17"/>
      <c r="L21" s="17" t="str">
        <f t="shared" ca="1" si="0"/>
        <v/>
      </c>
      <c r="M21" s="17"/>
      <c r="N21" s="17"/>
      <c r="O21" s="17"/>
    </row>
    <row r="22" spans="1:15" x14ac:dyDescent="0.3">
      <c r="A22" s="17" t="s">
        <v>1246</v>
      </c>
      <c r="B22" s="17"/>
      <c r="C22" s="17"/>
      <c r="D22" s="17"/>
      <c r="E22" s="17"/>
      <c r="F22" s="17"/>
      <c r="G22" s="17"/>
      <c r="H22" s="17"/>
      <c r="I22" s="17"/>
      <c r="J22" s="17"/>
      <c r="K22" s="17"/>
      <c r="L22" s="17" t="str">
        <f t="shared" ca="1" si="0"/>
        <v/>
      </c>
      <c r="M22" s="17"/>
      <c r="N22" s="17"/>
      <c r="O22" s="17"/>
    </row>
    <row r="23" spans="1:15" x14ac:dyDescent="0.3">
      <c r="A23" s="17" t="s">
        <v>1247</v>
      </c>
      <c r="B23" s="17"/>
      <c r="C23" s="17"/>
      <c r="D23" s="17"/>
      <c r="E23" s="17"/>
      <c r="F23" s="17"/>
      <c r="G23" s="17"/>
      <c r="H23" s="17"/>
      <c r="I23" s="17"/>
      <c r="J23" s="17"/>
      <c r="K23" s="17"/>
      <c r="L23" s="17" t="str">
        <f t="shared" ca="1" si="0"/>
        <v/>
      </c>
      <c r="M23" s="17"/>
      <c r="N23" s="17"/>
      <c r="O23" s="17"/>
    </row>
    <row r="24" spans="1:15" x14ac:dyDescent="0.3">
      <c r="A24" s="17" t="s">
        <v>1248</v>
      </c>
      <c r="B24" s="17"/>
      <c r="C24" s="17"/>
      <c r="D24" s="17"/>
      <c r="E24" s="17"/>
      <c r="F24" s="17"/>
      <c r="G24" s="17"/>
      <c r="H24" s="17"/>
      <c r="I24" s="17"/>
      <c r="J24" s="17"/>
      <c r="K24" s="17"/>
      <c r="L24" s="17" t="str">
        <f t="shared" ca="1" si="0"/>
        <v/>
      </c>
      <c r="M24" s="17"/>
      <c r="N24" s="17"/>
      <c r="O24" s="17"/>
    </row>
    <row r="25" spans="1:15" x14ac:dyDescent="0.3">
      <c r="A25" s="17" t="s">
        <v>1249</v>
      </c>
      <c r="B25" s="17"/>
      <c r="C25" s="17"/>
      <c r="D25" s="17"/>
      <c r="E25" s="17"/>
      <c r="F25" s="17"/>
      <c r="G25" s="17"/>
      <c r="H25" s="17"/>
      <c r="I25" s="17"/>
      <c r="J25" s="17"/>
      <c r="K25" s="17"/>
      <c r="L25" s="17" t="str">
        <f t="shared" ca="1" si="0"/>
        <v/>
      </c>
      <c r="M25" s="17"/>
      <c r="N25" s="17"/>
      <c r="O25" s="17"/>
    </row>
    <row r="26" spans="1:15" x14ac:dyDescent="0.3">
      <c r="A26" s="17" t="s">
        <v>1250</v>
      </c>
      <c r="B26" s="17"/>
      <c r="C26" s="17"/>
      <c r="D26" s="17"/>
      <c r="E26" s="17"/>
      <c r="F26" s="17"/>
      <c r="G26" s="17"/>
      <c r="H26" s="17"/>
      <c r="I26" s="17"/>
      <c r="J26" s="17"/>
      <c r="K26" s="17"/>
      <c r="L26" s="17" t="str">
        <f t="shared" ca="1" si="0"/>
        <v/>
      </c>
      <c r="M26" s="17"/>
      <c r="N26" s="17"/>
      <c r="O26" s="17"/>
    </row>
    <row r="27" spans="1:15" x14ac:dyDescent="0.3">
      <c r="A27" s="17" t="s">
        <v>1251</v>
      </c>
      <c r="B27" s="17"/>
      <c r="C27" s="17"/>
      <c r="D27" s="17"/>
      <c r="E27" s="17"/>
      <c r="F27" s="17"/>
      <c r="G27" s="17"/>
      <c r="H27" s="17"/>
      <c r="I27" s="17"/>
      <c r="J27" s="17"/>
      <c r="K27" s="17"/>
      <c r="L27" s="17" t="str">
        <f t="shared" ca="1" si="0"/>
        <v/>
      </c>
      <c r="M27" s="17"/>
      <c r="N27" s="17"/>
      <c r="O27" s="17"/>
    </row>
    <row r="28" spans="1:15" x14ac:dyDescent="0.3">
      <c r="A28" s="17" t="s">
        <v>1252</v>
      </c>
      <c r="B28" s="17"/>
      <c r="C28" s="17"/>
      <c r="D28" s="17"/>
      <c r="E28" s="17"/>
      <c r="F28" s="17"/>
      <c r="G28" s="17"/>
      <c r="H28" s="17"/>
      <c r="I28" s="17"/>
      <c r="J28" s="17"/>
      <c r="K28" s="17"/>
      <c r="L28" s="17" t="str">
        <f t="shared" ca="1" si="0"/>
        <v/>
      </c>
      <c r="M28" s="17"/>
      <c r="N28" s="17"/>
      <c r="O28" s="17"/>
    </row>
    <row r="29" spans="1:15" x14ac:dyDescent="0.3">
      <c r="A29" s="17" t="s">
        <v>1253</v>
      </c>
      <c r="B29" s="17"/>
      <c r="C29" s="17"/>
      <c r="D29" s="17"/>
      <c r="E29" s="17"/>
      <c r="F29" s="17"/>
      <c r="G29" s="17"/>
      <c r="H29" s="17"/>
      <c r="I29" s="17"/>
      <c r="J29" s="17"/>
      <c r="K29" s="17"/>
      <c r="L29" s="17" t="str">
        <f t="shared" ca="1" si="0"/>
        <v/>
      </c>
      <c r="M29" s="17"/>
      <c r="N29" s="17"/>
      <c r="O29" s="17"/>
    </row>
    <row r="30" spans="1:15" x14ac:dyDescent="0.3">
      <c r="A30" s="17" t="s">
        <v>1254</v>
      </c>
      <c r="B30" s="17"/>
      <c r="C30" s="17"/>
      <c r="D30" s="17"/>
      <c r="E30" s="17"/>
      <c r="F30" s="17"/>
      <c r="G30" s="17"/>
      <c r="H30" s="17"/>
      <c r="I30" s="17"/>
      <c r="J30" s="17"/>
      <c r="K30" s="17"/>
      <c r="L30" s="17" t="str">
        <f t="shared" ca="1" si="0"/>
        <v/>
      </c>
      <c r="M30" s="17"/>
      <c r="N30" s="17"/>
      <c r="O30" s="17"/>
    </row>
    <row r="31" spans="1:15" x14ac:dyDescent="0.3">
      <c r="A31" s="17" t="s">
        <v>1255</v>
      </c>
      <c r="B31" s="17"/>
      <c r="C31" s="17"/>
      <c r="D31" s="17"/>
      <c r="E31" s="17"/>
      <c r="F31" s="17"/>
      <c r="G31" s="17"/>
      <c r="H31" s="17"/>
      <c r="I31" s="17"/>
      <c r="J31" s="17"/>
      <c r="K31" s="17"/>
      <c r="L31" s="17" t="str">
        <f t="shared" ca="1" si="0"/>
        <v/>
      </c>
      <c r="M31" s="17"/>
      <c r="N31" s="17"/>
      <c r="O31" s="17"/>
    </row>
    <row r="32" spans="1:15" x14ac:dyDescent="0.3">
      <c r="A32" s="17" t="s">
        <v>1256</v>
      </c>
      <c r="B32" s="17"/>
      <c r="C32" s="17"/>
      <c r="D32" s="17"/>
      <c r="E32" s="17"/>
      <c r="F32" s="17"/>
      <c r="G32" s="17"/>
      <c r="H32" s="17"/>
      <c r="I32" s="17"/>
      <c r="J32" s="17"/>
      <c r="K32" s="17"/>
      <c r="L32" s="17" t="str">
        <f t="shared" ca="1" si="0"/>
        <v/>
      </c>
      <c r="M32" s="17"/>
      <c r="N32" s="17"/>
      <c r="O32" s="17"/>
    </row>
    <row r="33" spans="1:15" x14ac:dyDescent="0.3">
      <c r="A33" s="17" t="s">
        <v>1257</v>
      </c>
      <c r="B33" s="17"/>
      <c r="C33" s="17"/>
      <c r="D33" s="17"/>
      <c r="E33" s="17"/>
      <c r="F33" s="17"/>
      <c r="G33" s="17"/>
      <c r="H33" s="17"/>
      <c r="I33" s="17"/>
      <c r="J33" s="17"/>
      <c r="K33" s="17"/>
      <c r="L33" s="17" t="str">
        <f t="shared" ca="1" si="0"/>
        <v/>
      </c>
      <c r="M33" s="17"/>
      <c r="N33" s="17"/>
      <c r="O33" s="17"/>
    </row>
    <row r="34" spans="1:15" x14ac:dyDescent="0.3">
      <c r="A34" s="17" t="s">
        <v>1258</v>
      </c>
      <c r="B34" s="17"/>
      <c r="C34" s="17"/>
      <c r="D34" s="17"/>
      <c r="E34" s="17"/>
      <c r="F34" s="17"/>
      <c r="G34" s="17"/>
      <c r="H34" s="17"/>
      <c r="I34" s="17"/>
      <c r="J34" s="17"/>
      <c r="K34" s="17"/>
      <c r="L34" s="17" t="str">
        <f t="shared" ref="L34:L65" ca="1" si="1">IF(AND(K34&lt;&gt;"Closed",J34&lt;&gt;""),MAX(0,TODAY()-J34),"")</f>
        <v/>
      </c>
      <c r="M34" s="17"/>
      <c r="N34" s="17"/>
      <c r="O34" s="17"/>
    </row>
    <row r="35" spans="1:15" x14ac:dyDescent="0.3">
      <c r="A35" s="17" t="s">
        <v>1259</v>
      </c>
      <c r="B35" s="17"/>
      <c r="C35" s="17"/>
      <c r="D35" s="17"/>
      <c r="E35" s="17"/>
      <c r="F35" s="17"/>
      <c r="G35" s="17"/>
      <c r="H35" s="17"/>
      <c r="I35" s="17"/>
      <c r="J35" s="17"/>
      <c r="K35" s="17"/>
      <c r="L35" s="17" t="str">
        <f t="shared" ca="1" si="1"/>
        <v/>
      </c>
      <c r="M35" s="17"/>
      <c r="N35" s="17"/>
      <c r="O35" s="17"/>
    </row>
    <row r="36" spans="1:15" x14ac:dyDescent="0.3">
      <c r="A36" s="17" t="s">
        <v>1260</v>
      </c>
      <c r="B36" s="17"/>
      <c r="C36" s="17"/>
      <c r="D36" s="17"/>
      <c r="E36" s="17"/>
      <c r="F36" s="17"/>
      <c r="G36" s="17"/>
      <c r="H36" s="17"/>
      <c r="I36" s="17"/>
      <c r="J36" s="17"/>
      <c r="K36" s="17"/>
      <c r="L36" s="17" t="str">
        <f t="shared" ca="1" si="1"/>
        <v/>
      </c>
      <c r="M36" s="17"/>
      <c r="N36" s="17"/>
      <c r="O36" s="17"/>
    </row>
    <row r="37" spans="1:15" x14ac:dyDescent="0.3">
      <c r="A37" s="17" t="s">
        <v>1261</v>
      </c>
      <c r="B37" s="17"/>
      <c r="C37" s="17"/>
      <c r="D37" s="17"/>
      <c r="E37" s="17"/>
      <c r="F37" s="17"/>
      <c r="G37" s="17"/>
      <c r="H37" s="17"/>
      <c r="I37" s="17"/>
      <c r="J37" s="17"/>
      <c r="K37" s="17"/>
      <c r="L37" s="17" t="str">
        <f t="shared" ca="1" si="1"/>
        <v/>
      </c>
      <c r="M37" s="17"/>
      <c r="N37" s="17"/>
      <c r="O37" s="17"/>
    </row>
    <row r="38" spans="1:15" x14ac:dyDescent="0.3">
      <c r="A38" s="17" t="s">
        <v>1262</v>
      </c>
      <c r="B38" s="17"/>
      <c r="C38" s="17"/>
      <c r="D38" s="17"/>
      <c r="E38" s="17"/>
      <c r="F38" s="17"/>
      <c r="G38" s="17"/>
      <c r="H38" s="17"/>
      <c r="I38" s="17"/>
      <c r="J38" s="17"/>
      <c r="K38" s="17"/>
      <c r="L38" s="17" t="str">
        <f t="shared" ca="1" si="1"/>
        <v/>
      </c>
      <c r="M38" s="17"/>
      <c r="N38" s="17"/>
      <c r="O38" s="17"/>
    </row>
    <row r="39" spans="1:15" x14ac:dyDescent="0.3">
      <c r="A39" s="17" t="s">
        <v>1263</v>
      </c>
      <c r="B39" s="17"/>
      <c r="C39" s="17"/>
      <c r="D39" s="17"/>
      <c r="E39" s="17"/>
      <c r="F39" s="17"/>
      <c r="G39" s="17"/>
      <c r="H39" s="17"/>
      <c r="I39" s="17"/>
      <c r="J39" s="17"/>
      <c r="K39" s="17"/>
      <c r="L39" s="17" t="str">
        <f t="shared" ca="1" si="1"/>
        <v/>
      </c>
      <c r="M39" s="17"/>
      <c r="N39" s="17"/>
      <c r="O39" s="17"/>
    </row>
    <row r="40" spans="1:15" x14ac:dyDescent="0.3">
      <c r="A40" s="17" t="s">
        <v>1264</v>
      </c>
      <c r="B40" s="17"/>
      <c r="C40" s="17"/>
      <c r="D40" s="17"/>
      <c r="E40" s="17"/>
      <c r="F40" s="17"/>
      <c r="G40" s="17"/>
      <c r="H40" s="17"/>
      <c r="I40" s="17"/>
      <c r="J40" s="17"/>
      <c r="K40" s="17"/>
      <c r="L40" s="17" t="str">
        <f t="shared" ca="1" si="1"/>
        <v/>
      </c>
      <c r="M40" s="17"/>
      <c r="N40" s="17"/>
      <c r="O40" s="17"/>
    </row>
    <row r="41" spans="1:15" x14ac:dyDescent="0.3">
      <c r="A41" s="17" t="s">
        <v>1265</v>
      </c>
      <c r="B41" s="17"/>
      <c r="C41" s="17"/>
      <c r="D41" s="17"/>
      <c r="E41" s="17"/>
      <c r="F41" s="17"/>
      <c r="G41" s="17"/>
      <c r="H41" s="17"/>
      <c r="I41" s="17"/>
      <c r="J41" s="17"/>
      <c r="K41" s="17"/>
      <c r="L41" s="17" t="str">
        <f t="shared" ca="1" si="1"/>
        <v/>
      </c>
      <c r="M41" s="17"/>
      <c r="N41" s="17"/>
      <c r="O41" s="17"/>
    </row>
    <row r="42" spans="1:15" x14ac:dyDescent="0.3">
      <c r="A42" s="17" t="s">
        <v>1266</v>
      </c>
      <c r="B42" s="17"/>
      <c r="C42" s="17"/>
      <c r="D42" s="17"/>
      <c r="E42" s="17"/>
      <c r="F42" s="17"/>
      <c r="G42" s="17"/>
      <c r="H42" s="17"/>
      <c r="I42" s="17"/>
      <c r="J42" s="17"/>
      <c r="K42" s="17"/>
      <c r="L42" s="17" t="str">
        <f t="shared" ca="1" si="1"/>
        <v/>
      </c>
      <c r="M42" s="17"/>
      <c r="N42" s="17"/>
      <c r="O42" s="17"/>
    </row>
    <row r="43" spans="1:15" x14ac:dyDescent="0.3">
      <c r="A43" s="17" t="s">
        <v>1267</v>
      </c>
      <c r="B43" s="17"/>
      <c r="C43" s="17"/>
      <c r="D43" s="17"/>
      <c r="E43" s="17"/>
      <c r="F43" s="17"/>
      <c r="G43" s="17"/>
      <c r="H43" s="17"/>
      <c r="I43" s="17"/>
      <c r="J43" s="17"/>
      <c r="K43" s="17"/>
      <c r="L43" s="17" t="str">
        <f t="shared" ca="1" si="1"/>
        <v/>
      </c>
      <c r="M43" s="17"/>
      <c r="N43" s="17"/>
      <c r="O43" s="17"/>
    </row>
    <row r="44" spans="1:15" x14ac:dyDescent="0.3">
      <c r="A44" s="17" t="s">
        <v>1268</v>
      </c>
      <c r="B44" s="17"/>
      <c r="C44" s="17"/>
      <c r="D44" s="17"/>
      <c r="E44" s="17"/>
      <c r="F44" s="17"/>
      <c r="G44" s="17"/>
      <c r="H44" s="17"/>
      <c r="I44" s="17"/>
      <c r="J44" s="17"/>
      <c r="K44" s="17"/>
      <c r="L44" s="17" t="str">
        <f t="shared" ca="1" si="1"/>
        <v/>
      </c>
      <c r="M44" s="17"/>
      <c r="N44" s="17"/>
      <c r="O44" s="17"/>
    </row>
    <row r="45" spans="1:15" x14ac:dyDescent="0.3">
      <c r="A45" s="17" t="s">
        <v>1269</v>
      </c>
      <c r="B45" s="17"/>
      <c r="C45" s="17"/>
      <c r="D45" s="17"/>
      <c r="E45" s="17"/>
      <c r="F45" s="17"/>
      <c r="G45" s="17"/>
      <c r="H45" s="17"/>
      <c r="I45" s="17"/>
      <c r="J45" s="17"/>
      <c r="K45" s="17"/>
      <c r="L45" s="17" t="str">
        <f t="shared" ca="1" si="1"/>
        <v/>
      </c>
      <c r="M45" s="17"/>
      <c r="N45" s="17"/>
      <c r="O45" s="17"/>
    </row>
    <row r="46" spans="1:15" x14ac:dyDescent="0.3">
      <c r="A46" s="17" t="s">
        <v>1270</v>
      </c>
      <c r="B46" s="17"/>
      <c r="C46" s="17"/>
      <c r="D46" s="17"/>
      <c r="E46" s="17"/>
      <c r="F46" s="17"/>
      <c r="G46" s="17"/>
      <c r="H46" s="17"/>
      <c r="I46" s="17"/>
      <c r="J46" s="17"/>
      <c r="K46" s="17"/>
      <c r="L46" s="17" t="str">
        <f t="shared" ca="1" si="1"/>
        <v/>
      </c>
      <c r="M46" s="17"/>
      <c r="N46" s="17"/>
      <c r="O46" s="17"/>
    </row>
    <row r="47" spans="1:15" x14ac:dyDescent="0.3">
      <c r="A47" s="17" t="s">
        <v>1271</v>
      </c>
      <c r="B47" s="17"/>
      <c r="C47" s="17"/>
      <c r="D47" s="17"/>
      <c r="E47" s="17"/>
      <c r="F47" s="17"/>
      <c r="G47" s="17"/>
      <c r="H47" s="17"/>
      <c r="I47" s="17"/>
      <c r="J47" s="17"/>
      <c r="K47" s="17"/>
      <c r="L47" s="17" t="str">
        <f t="shared" ca="1" si="1"/>
        <v/>
      </c>
      <c r="M47" s="17"/>
      <c r="N47" s="17"/>
      <c r="O47" s="17"/>
    </row>
    <row r="48" spans="1:15" x14ac:dyDescent="0.3">
      <c r="A48" s="17" t="s">
        <v>1272</v>
      </c>
      <c r="B48" s="17"/>
      <c r="C48" s="17"/>
      <c r="D48" s="17"/>
      <c r="E48" s="17"/>
      <c r="F48" s="17"/>
      <c r="G48" s="17"/>
      <c r="H48" s="17"/>
      <c r="I48" s="17"/>
      <c r="J48" s="17"/>
      <c r="K48" s="17"/>
      <c r="L48" s="17" t="str">
        <f t="shared" ca="1" si="1"/>
        <v/>
      </c>
      <c r="M48" s="17"/>
      <c r="N48" s="17"/>
      <c r="O48" s="17"/>
    </row>
    <row r="49" spans="1:15" x14ac:dyDescent="0.3">
      <c r="A49" s="17" t="s">
        <v>1273</v>
      </c>
      <c r="B49" s="17"/>
      <c r="C49" s="17"/>
      <c r="D49" s="17"/>
      <c r="E49" s="17"/>
      <c r="F49" s="17"/>
      <c r="G49" s="17"/>
      <c r="H49" s="17"/>
      <c r="I49" s="17"/>
      <c r="J49" s="17"/>
      <c r="K49" s="17"/>
      <c r="L49" s="17" t="str">
        <f t="shared" ca="1" si="1"/>
        <v/>
      </c>
      <c r="M49" s="17"/>
      <c r="N49" s="17"/>
      <c r="O49" s="17"/>
    </row>
    <row r="50" spans="1:15" x14ac:dyDescent="0.3">
      <c r="A50" s="17" t="s">
        <v>1274</v>
      </c>
      <c r="B50" s="17"/>
      <c r="C50" s="17"/>
      <c r="D50" s="17"/>
      <c r="E50" s="17"/>
      <c r="F50" s="17"/>
      <c r="G50" s="17"/>
      <c r="H50" s="17"/>
      <c r="I50" s="17"/>
      <c r="J50" s="17"/>
      <c r="K50" s="17"/>
      <c r="L50" s="17" t="str">
        <f t="shared" ca="1" si="1"/>
        <v/>
      </c>
      <c r="M50" s="17"/>
      <c r="N50" s="17"/>
      <c r="O50" s="17"/>
    </row>
    <row r="51" spans="1:15" x14ac:dyDescent="0.3">
      <c r="A51" s="17" t="s">
        <v>1275</v>
      </c>
      <c r="B51" s="17"/>
      <c r="C51" s="17"/>
      <c r="D51" s="17"/>
      <c r="E51" s="17"/>
      <c r="F51" s="17"/>
      <c r="G51" s="17"/>
      <c r="H51" s="17"/>
      <c r="I51" s="17"/>
      <c r="J51" s="17"/>
      <c r="K51" s="17"/>
      <c r="L51" s="17" t="str">
        <f t="shared" ca="1" si="1"/>
        <v/>
      </c>
      <c r="M51" s="17"/>
      <c r="N51" s="17"/>
      <c r="O51" s="17"/>
    </row>
  </sheetData>
  <autoFilter ref="A1:O51" xr:uid="{00000000-0009-0000-0000-000007000000}"/>
  <conditionalFormatting sqref="K2:K51">
    <cfRule type="cellIs" dxfId="3" priority="2" operator="equal">
      <formula>"Overdue"</formula>
    </cfRule>
    <cfRule type="cellIs" dxfId="2" priority="3" operator="equal">
      <formula>"Open"</formula>
    </cfRule>
    <cfRule type="cellIs" dxfId="1" priority="4" operator="equal">
      <formula>"In Progress"</formula>
    </cfRule>
    <cfRule type="cellIs" dxfId="0" priority="5" operator="equal">
      <formula>"Closed"</formula>
    </cfRule>
  </conditionalFormatting>
  <dataValidations count="3">
    <dataValidation type="list" allowBlank="1" sqref="K2:K51" xr:uid="{00000000-0002-0000-0700-000000000000}">
      <formula1>"Open,In Progress,On Hold,Closed,Overdue,Cancelled"</formula1>
      <formula2>0</formula2>
    </dataValidation>
    <dataValidation type="list" allowBlank="1" sqref="F2:F51" xr:uid="{00000000-0002-0000-0700-000001000000}">
      <formula1>"Critical,High,Medium,Low,Informational"</formula1>
      <formula2>0</formula2>
    </dataValidation>
    <dataValidation type="list" allowBlank="1" sqref="B2:B51" xr:uid="{00000000-0002-0000-0700-000002000000}">
      <formula1>"62443-3-3 Assessment,62443-4-2 Assessment,PLC Top 20 Review,Penetration Test,Configuration Audit,CyberPHA,Risk Assessment,Vulnerability Scan,Incident,Regulatory Audit"</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325D3557-DB61-46CC-8A1F-DCC2C5960666}">
          <x14:formula1>
            <xm:f>'Test Tracker'!$A$2:$A$101</xm:f>
          </x14:formula1>
          <xm:sqref>C2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L44"/>
  <sheetViews>
    <sheetView topLeftCell="A13" zoomScaleNormal="100" workbookViewId="0">
      <selection activeCell="E47" sqref="E47"/>
    </sheetView>
  </sheetViews>
  <sheetFormatPr defaultColWidth="8.6640625" defaultRowHeight="14.4" x14ac:dyDescent="0.3"/>
  <cols>
    <col min="1" max="1" width="42" customWidth="1"/>
    <col min="2" max="3" width="12" customWidth="1"/>
    <col min="5" max="5" width="42" customWidth="1"/>
    <col min="6" max="6" width="12" customWidth="1"/>
    <col min="7" max="11" width="10" customWidth="1"/>
  </cols>
  <sheetData>
    <row r="1" spans="1:12" ht="21" x14ac:dyDescent="0.4">
      <c r="A1" s="12" t="s">
        <v>1276</v>
      </c>
      <c r="B1" s="12"/>
      <c r="C1" s="12"/>
      <c r="D1" s="12"/>
      <c r="E1" s="12"/>
      <c r="F1" s="12"/>
      <c r="G1" s="12"/>
      <c r="H1" s="12"/>
      <c r="I1" s="12"/>
      <c r="J1" s="12"/>
      <c r="K1" s="12"/>
      <c r="L1" s="12"/>
    </row>
    <row r="3" spans="1:12" ht="15.6" x14ac:dyDescent="0.3">
      <c r="A3" s="16" t="s">
        <v>1277</v>
      </c>
      <c r="B3" s="16" t="s">
        <v>1278</v>
      </c>
      <c r="C3" s="16" t="s">
        <v>1279</v>
      </c>
      <c r="E3" s="9" t="s">
        <v>1280</v>
      </c>
      <c r="F3" s="9"/>
      <c r="G3" s="9"/>
      <c r="H3" s="9"/>
      <c r="I3" s="9"/>
      <c r="J3" s="9"/>
      <c r="K3" s="9"/>
    </row>
    <row r="4" spans="1:12" x14ac:dyDescent="0.3">
      <c r="A4" s="27" t="s">
        <v>1281</v>
      </c>
      <c r="B4" s="27">
        <f>COUNTA('Test Tracker'!U2:U101)-COUNTBLANK('Test Tracker'!U2:U101)</f>
        <v>-100</v>
      </c>
      <c r="C4" s="27"/>
      <c r="D4" s="27"/>
      <c r="E4" s="16" t="s">
        <v>35</v>
      </c>
      <c r="F4" s="16" t="s">
        <v>1282</v>
      </c>
      <c r="G4" s="16" t="s">
        <v>1181</v>
      </c>
      <c r="H4" s="16" t="s">
        <v>1186</v>
      </c>
      <c r="I4" s="16" t="s">
        <v>1188</v>
      </c>
      <c r="J4" s="16" t="s">
        <v>1191</v>
      </c>
      <c r="K4" s="16" t="s">
        <v>1283</v>
      </c>
    </row>
    <row r="5" spans="1:12" x14ac:dyDescent="0.3">
      <c r="A5" s="14" t="s">
        <v>1283</v>
      </c>
      <c r="B5" s="28">
        <f>COUNTIF('Test Tracker'!U2:U101,"Pass")</f>
        <v>0</v>
      </c>
      <c r="C5" s="29">
        <f>IF(B4=0,0,B5/B4)</f>
        <v>0</v>
      </c>
      <c r="E5" s="30" t="s">
        <v>1284</v>
      </c>
      <c r="F5" s="28">
        <f>COUNTIF('Test Tracker'!D2:D101,"FR1 - Identification and Authentication Control (IAC)")</f>
        <v>0</v>
      </c>
      <c r="G5" s="28">
        <f>COUNTIFS('Test Tracker'!D2:D101,"FR1 - Identification and Authentication Control (IAC)",'Test Tracker'!L2:L101,"Critical")</f>
        <v>0</v>
      </c>
      <c r="H5" s="28">
        <f>COUNTIFS('Test Tracker'!D2:D101,"FR1 - Identification and Authentication Control (IAC)",'Test Tracker'!L2:L101,"High")</f>
        <v>0</v>
      </c>
      <c r="I5" s="28">
        <f>COUNTIFS('Test Tracker'!D2:D101,"FR1 - Identification and Authentication Control (IAC)",'Test Tracker'!L2:L101,"Medium")</f>
        <v>0</v>
      </c>
      <c r="J5" s="28">
        <f>COUNTIFS('Test Tracker'!D2:D101,"FR1 - Identification and Authentication Control (IAC)",'Test Tracker'!L2:L101,"Low")</f>
        <v>0</v>
      </c>
      <c r="K5" s="28">
        <f>COUNTIFS('Test Tracker'!D2:D101,"FR1 - Identification and Authentication Control (IAC)",'Test Tracker'!U2:U101,"Pass")</f>
        <v>0</v>
      </c>
    </row>
    <row r="6" spans="1:12" x14ac:dyDescent="0.3">
      <c r="A6" s="14" t="s">
        <v>1285</v>
      </c>
      <c r="B6" s="28">
        <f>COUNTIF('Test Tracker'!U2:U101,"Fail")</f>
        <v>0</v>
      </c>
      <c r="C6" s="29">
        <f>IF(B4=0,0,B6/B4)</f>
        <v>0</v>
      </c>
      <c r="E6" s="30" t="s">
        <v>124</v>
      </c>
      <c r="F6" s="28">
        <f>COUNTIF('Test Tracker'!D2:D101,"FR2 - Use Control (UC)")</f>
        <v>0</v>
      </c>
      <c r="G6" s="28">
        <f>COUNTIFS('Test Tracker'!D2:D101,"FR2 - Use Control (UC)",'Test Tracker'!L2:L101,"Critical")</f>
        <v>0</v>
      </c>
      <c r="H6" s="28">
        <f>COUNTIFS('Test Tracker'!D2:D101,"FR2 - Use Control (UC)",'Test Tracker'!L2:L101,"High")</f>
        <v>0</v>
      </c>
      <c r="I6" s="28">
        <f>COUNTIFS('Test Tracker'!D2:D101,"FR2 - Use Control (UC)",'Test Tracker'!L2:L101,"Medium")</f>
        <v>0</v>
      </c>
      <c r="J6" s="28">
        <f>COUNTIFS('Test Tracker'!D2:D101,"FR2 - Use Control (UC)",'Test Tracker'!L2:L101,"Low")</f>
        <v>0</v>
      </c>
      <c r="K6" s="28">
        <f>COUNTIFS('Test Tracker'!D2:D101,"FR2 - Use Control (UC)",'Test Tracker'!U2:U101,"Pass")</f>
        <v>0</v>
      </c>
    </row>
    <row r="7" spans="1:12" x14ac:dyDescent="0.3">
      <c r="A7" s="14" t="s">
        <v>1286</v>
      </c>
      <c r="B7" s="28">
        <f>COUNTIF('Test Tracker'!U2:U101,"Partial")</f>
        <v>0</v>
      </c>
      <c r="C7" s="29">
        <f>IF(B4=0,0,B7/B4)</f>
        <v>0</v>
      </c>
      <c r="E7" s="30" t="s">
        <v>184</v>
      </c>
      <c r="F7" s="28">
        <f>COUNTIF('Test Tracker'!D2:D101,"FR3 - System Integrity (SI)")</f>
        <v>0</v>
      </c>
      <c r="G7" s="28">
        <f>COUNTIFS('Test Tracker'!D2:D101,"FR3 - System Integrity (SI)",'Test Tracker'!L2:L101,"Critical")</f>
        <v>0</v>
      </c>
      <c r="H7" s="28">
        <f>COUNTIFS('Test Tracker'!D2:D101,"FR3 - System Integrity (SI)",'Test Tracker'!L2:L101,"High")</f>
        <v>0</v>
      </c>
      <c r="I7" s="28">
        <f>COUNTIFS('Test Tracker'!D2:D101,"FR3 - System Integrity (SI)",'Test Tracker'!L2:L101,"Medium")</f>
        <v>0</v>
      </c>
      <c r="J7" s="28">
        <f>COUNTIFS('Test Tracker'!D2:D101,"FR3 - System Integrity (SI)",'Test Tracker'!L2:L101,"Low")</f>
        <v>0</v>
      </c>
      <c r="K7" s="28">
        <f>COUNTIFS('Test Tracker'!D2:D101,"FR3 - System Integrity (SI)",'Test Tracker'!U2:U101,"Pass")</f>
        <v>0</v>
      </c>
    </row>
    <row r="8" spans="1:12" x14ac:dyDescent="0.3">
      <c r="A8" s="14" t="s">
        <v>1287</v>
      </c>
      <c r="B8" s="28">
        <f>COUNTIF('Test Tracker'!U2:U101,"Not Tested")</f>
        <v>0</v>
      </c>
      <c r="C8" s="29">
        <f>IF(B4=0,0,B8/B4)</f>
        <v>0</v>
      </c>
      <c r="E8" s="30" t="s">
        <v>228</v>
      </c>
      <c r="F8" s="28">
        <f>COUNTIF('Test Tracker'!D2:D101,"FR4 - Data Confidentiality (DC)")</f>
        <v>0</v>
      </c>
      <c r="G8" s="28">
        <f>COUNTIFS('Test Tracker'!D2:D101,"FR4 - Data Confidentiality (DC)",'Test Tracker'!L2:L101,"Critical")</f>
        <v>0</v>
      </c>
      <c r="H8" s="28">
        <f>COUNTIFS('Test Tracker'!D2:D101,"FR4 - Data Confidentiality (DC)",'Test Tracker'!L2:L101,"High")</f>
        <v>0</v>
      </c>
      <c r="I8" s="28">
        <f>COUNTIFS('Test Tracker'!D2:D101,"FR4 - Data Confidentiality (DC)",'Test Tracker'!L2:L101,"Medium")</f>
        <v>0</v>
      </c>
      <c r="J8" s="28">
        <f>COUNTIFS('Test Tracker'!D2:D101,"FR4 - Data Confidentiality (DC)",'Test Tracker'!L2:L101,"Low")</f>
        <v>0</v>
      </c>
      <c r="K8" s="28">
        <f>COUNTIFS('Test Tracker'!D2:D101,"FR4 - Data Confidentiality (DC)",'Test Tracker'!U2:U101,"Pass")</f>
        <v>0</v>
      </c>
    </row>
    <row r="9" spans="1:12" x14ac:dyDescent="0.3">
      <c r="A9" s="14" t="s">
        <v>1288</v>
      </c>
      <c r="B9" s="28">
        <f>COUNTIF('Test Tracker'!U2:U101,"Not Applicable")</f>
        <v>0</v>
      </c>
      <c r="C9" s="29">
        <f>IF(B4=0,0,B9/B4)</f>
        <v>0</v>
      </c>
      <c r="E9" s="30" t="s">
        <v>243</v>
      </c>
      <c r="F9" s="28">
        <f>COUNTIF('Test Tracker'!D2:D101,"FR5 - Restricted Data Flow (RDF)")</f>
        <v>0</v>
      </c>
      <c r="G9" s="28">
        <f>COUNTIFS('Test Tracker'!D2:D101,"FR5 - Restricted Data Flow (RDF)",'Test Tracker'!L2:L101,"Critical")</f>
        <v>0</v>
      </c>
      <c r="H9" s="28">
        <f>COUNTIFS('Test Tracker'!D2:D101,"FR5 - Restricted Data Flow (RDF)",'Test Tracker'!L2:L101,"High")</f>
        <v>0</v>
      </c>
      <c r="I9" s="28">
        <f>COUNTIFS('Test Tracker'!D2:D101,"FR5 - Restricted Data Flow (RDF)",'Test Tracker'!L2:L101,"Medium")</f>
        <v>0</v>
      </c>
      <c r="J9" s="28">
        <f>COUNTIFS('Test Tracker'!D2:D101,"FR5 - Restricted Data Flow (RDF)",'Test Tracker'!L2:L101,"Low")</f>
        <v>0</v>
      </c>
      <c r="K9" s="28">
        <f>COUNTIFS('Test Tracker'!D2:D101,"FR5 - Restricted Data Flow (RDF)",'Test Tracker'!U2:U101,"Pass")</f>
        <v>0</v>
      </c>
    </row>
    <row r="10" spans="1:12" x14ac:dyDescent="0.3">
      <c r="A10" s="14" t="s">
        <v>1289</v>
      </c>
      <c r="B10" s="28">
        <f>COUNTIF('Test Tracker'!U2:U101,"Deferred")</f>
        <v>0</v>
      </c>
      <c r="C10" s="29">
        <f>IF(B4=0,0,B10/B4)</f>
        <v>0</v>
      </c>
      <c r="E10" s="30" t="s">
        <v>263</v>
      </c>
      <c r="F10" s="28">
        <f>COUNTIF('Test Tracker'!D2:D101,"FR6 - Timely Response to Events (TRE)")</f>
        <v>0</v>
      </c>
      <c r="G10" s="28">
        <f>COUNTIFS('Test Tracker'!D2:D101,"FR6 - Timely Response to Events (TRE)",'Test Tracker'!L2:L101,"Critical")</f>
        <v>0</v>
      </c>
      <c r="H10" s="28">
        <f>COUNTIFS('Test Tracker'!D2:D101,"FR6 - Timely Response to Events (TRE)",'Test Tracker'!L2:L101,"High")</f>
        <v>0</v>
      </c>
      <c r="I10" s="28">
        <f>COUNTIFS('Test Tracker'!D2:D101,"FR6 - Timely Response to Events (TRE)",'Test Tracker'!L2:L101,"Medium")</f>
        <v>0</v>
      </c>
      <c r="J10" s="28">
        <f>COUNTIFS('Test Tracker'!D2:D101,"FR6 - Timely Response to Events (TRE)",'Test Tracker'!L2:L101,"Low")</f>
        <v>0</v>
      </c>
      <c r="K10" s="28">
        <f>COUNTIFS('Test Tracker'!D2:D101,"FR6 - Timely Response to Events (TRE)",'Test Tracker'!U2:U101,"Pass")</f>
        <v>0</v>
      </c>
    </row>
    <row r="11" spans="1:12" x14ac:dyDescent="0.3">
      <c r="E11" s="30" t="s">
        <v>273</v>
      </c>
      <c r="F11" s="28">
        <f>COUNTIF('Test Tracker'!D2:D101,"FR7 - Resource Availability (RA)")</f>
        <v>0</v>
      </c>
      <c r="G11" s="28">
        <f>COUNTIFS('Test Tracker'!D2:D101,"FR7 - Resource Availability (RA)",'Test Tracker'!L2:L101,"Critical")</f>
        <v>0</v>
      </c>
      <c r="H11" s="28">
        <f>COUNTIFS('Test Tracker'!D2:D101,"FR7 - Resource Availability (RA)",'Test Tracker'!L2:L101,"High")</f>
        <v>0</v>
      </c>
      <c r="I11" s="28">
        <f>COUNTIFS('Test Tracker'!D2:D101,"FR7 - Resource Availability (RA)",'Test Tracker'!L2:L101,"Medium")</f>
        <v>0</v>
      </c>
      <c r="J11" s="28">
        <f>COUNTIFS('Test Tracker'!D2:D101,"FR7 - Resource Availability (RA)",'Test Tracker'!L2:L101,"Low")</f>
        <v>0</v>
      </c>
      <c r="K11" s="28">
        <f>COUNTIFS('Test Tracker'!D2:D101,"FR7 - Resource Availability (RA)",'Test Tracker'!U2:U101,"Pass")</f>
        <v>0</v>
      </c>
    </row>
    <row r="12" spans="1:12" x14ac:dyDescent="0.3">
      <c r="A12" s="16" t="s">
        <v>1290</v>
      </c>
      <c r="B12" s="16" t="s">
        <v>1278</v>
      </c>
      <c r="C12" s="16" t="s">
        <v>1279</v>
      </c>
      <c r="E12" s="30" t="s">
        <v>447</v>
      </c>
      <c r="F12" s="28">
        <f>COUNTIF('Test Tracker'!D2:D101,"PLC Top 20 Secure Coding Practices")</f>
        <v>0</v>
      </c>
      <c r="G12" s="28">
        <f>COUNTIFS('Test Tracker'!D2:D101,"PLC Top 20 Secure Coding Practices",'Test Tracker'!L2:L101,"Critical")</f>
        <v>0</v>
      </c>
      <c r="H12" s="28">
        <f>COUNTIFS('Test Tracker'!D2:D101,"PLC Top 20 Secure Coding Practices",'Test Tracker'!L2:L101,"High")</f>
        <v>0</v>
      </c>
      <c r="I12" s="28">
        <f>COUNTIFS('Test Tracker'!D2:D101,"PLC Top 20 Secure Coding Practices",'Test Tracker'!L2:L101,"Medium")</f>
        <v>0</v>
      </c>
      <c r="J12" s="28">
        <f>COUNTIFS('Test Tracker'!D2:D101,"PLC Top 20 Secure Coding Practices",'Test Tracker'!L2:L101,"Low")</f>
        <v>0</v>
      </c>
      <c r="K12" s="28">
        <f>COUNTIFS('Test Tracker'!D2:D101,"PLC Top 20 Secure Coding Practices",'Test Tracker'!U2:U101,"Pass")</f>
        <v>0</v>
      </c>
    </row>
    <row r="13" spans="1:12" x14ac:dyDescent="0.3">
      <c r="A13" s="31" t="s">
        <v>1181</v>
      </c>
      <c r="B13" s="28">
        <f>COUNTIF('Test Tracker'!L2:L101,"Critical")</f>
        <v>0</v>
      </c>
      <c r="C13" s="29">
        <f>IF(B4=0,0,B13/B4)</f>
        <v>0</v>
      </c>
    </row>
    <row r="14" spans="1:12" x14ac:dyDescent="0.3">
      <c r="A14" s="32" t="s">
        <v>1186</v>
      </c>
      <c r="B14" s="28">
        <f>COUNTIF('Test Tracker'!L2:L101,"High")</f>
        <v>0</v>
      </c>
      <c r="C14" s="29">
        <f>IF(B4=0,0,B14/B4)</f>
        <v>0</v>
      </c>
    </row>
    <row r="15" spans="1:12" ht="15.6" x14ac:dyDescent="0.3">
      <c r="A15" s="33" t="s">
        <v>1188</v>
      </c>
      <c r="B15" s="28">
        <f>COUNTIF('Test Tracker'!L2:L101,"Medium")</f>
        <v>0</v>
      </c>
      <c r="C15" s="29">
        <f>IF(B4=0,0,B15/B4)</f>
        <v>0</v>
      </c>
      <c r="E15" s="9" t="s">
        <v>1291</v>
      </c>
      <c r="F15" s="9"/>
      <c r="G15" s="9"/>
      <c r="H15" s="9"/>
      <c r="I15" s="9"/>
      <c r="J15" s="9"/>
      <c r="K15" s="9"/>
    </row>
    <row r="16" spans="1:12" x14ac:dyDescent="0.3">
      <c r="A16" s="39" t="s">
        <v>1191</v>
      </c>
      <c r="B16" s="40">
        <f>COUNTIF('Test Tracker'!L2:L101,"Low")</f>
        <v>0</v>
      </c>
      <c r="C16" s="41">
        <f>IF(B4=0,0,B16/B4)</f>
        <v>0</v>
      </c>
      <c r="D16" s="27"/>
      <c r="E16" s="16" t="s">
        <v>1292</v>
      </c>
      <c r="F16" s="16" t="s">
        <v>1278</v>
      </c>
    </row>
    <row r="17" spans="1:11" x14ac:dyDescent="0.3">
      <c r="A17" s="34" t="s">
        <v>1288</v>
      </c>
      <c r="B17" s="28">
        <f>COUNTIF('Test Tracker'!L2:L101,"Not Applicable")</f>
        <v>0</v>
      </c>
      <c r="C17" s="29">
        <f>IF(B4=0,0,B17/B4)</f>
        <v>0</v>
      </c>
      <c r="E17" s="35" t="s">
        <v>814</v>
      </c>
      <c r="F17" s="28">
        <f>COUNTIF('Test Tracker'!AA2:AA101,"T0879 Damage to Property")</f>
        <v>0</v>
      </c>
    </row>
    <row r="18" spans="1:11" x14ac:dyDescent="0.3">
      <c r="A18" s="36" t="s">
        <v>76</v>
      </c>
      <c r="B18" s="28">
        <f>COUNTIF('Test Tracker'!L2:L101,"None")</f>
        <v>0</v>
      </c>
      <c r="C18" s="29">
        <f>IF(B4=0,0,B18/B4)</f>
        <v>0</v>
      </c>
      <c r="E18" s="35" t="s">
        <v>586</v>
      </c>
      <c r="F18" s="28">
        <f>COUNTIF('Test Tracker'!AA2:AA101,"T0813 Denial of Control")</f>
        <v>0</v>
      </c>
    </row>
    <row r="19" spans="1:11" x14ac:dyDescent="0.3">
      <c r="E19" s="35" t="s">
        <v>594</v>
      </c>
      <c r="F19" s="28">
        <f>COUNTIF('Test Tracker'!AA2:AA101,"T0815 Denial of View")</f>
        <v>0</v>
      </c>
    </row>
    <row r="20" spans="1:11" x14ac:dyDescent="0.3">
      <c r="E20" s="35" t="s">
        <v>628</v>
      </c>
      <c r="F20" s="28">
        <f>COUNTIF('Test Tracker'!AA2:AA101,"T0826 Loss of Availability")</f>
        <v>0</v>
      </c>
    </row>
    <row r="21" spans="1:11" x14ac:dyDescent="0.3">
      <c r="E21" s="35" t="s">
        <v>632</v>
      </c>
      <c r="F21" s="28">
        <f>COUNTIF('Test Tracker'!AA2:AA101,"T0827 Loss of Control")</f>
        <v>0</v>
      </c>
    </row>
    <row r="22" spans="1:11" x14ac:dyDescent="0.3">
      <c r="E22" s="35" t="s">
        <v>636</v>
      </c>
      <c r="F22" s="28">
        <f>COUNTIF('Test Tracker'!AA2:AA101,"T0828 Loss of Productivity and Revenue")</f>
        <v>0</v>
      </c>
    </row>
    <row r="23" spans="1:11" x14ac:dyDescent="0.3">
      <c r="E23" s="35" t="s">
        <v>669</v>
      </c>
      <c r="F23" s="28">
        <f>COUNTIF('Test Tracker'!AA2:AA101,"T0837 Loss of Protection")</f>
        <v>0</v>
      </c>
    </row>
    <row r="24" spans="1:11" x14ac:dyDescent="0.3">
      <c r="E24" s="35" t="s">
        <v>818</v>
      </c>
      <c r="F24" s="28">
        <f>COUNTIF('Test Tracker'!AA2:AA101,"T0880 Loss of Safety")</f>
        <v>0</v>
      </c>
    </row>
    <row r="25" spans="1:11" x14ac:dyDescent="0.3">
      <c r="E25" s="35" t="s">
        <v>640</v>
      </c>
      <c r="F25" s="28">
        <f>COUNTIF('Test Tracker'!AA2:AA101,"T0829 Loss of View")</f>
        <v>0</v>
      </c>
    </row>
    <row r="26" spans="1:11" x14ac:dyDescent="0.3">
      <c r="E26" s="35" t="s">
        <v>648</v>
      </c>
      <c r="F26" s="28">
        <f>COUNTIF('Test Tracker'!AA2:AA101,"T0831 Manipulation of Control")</f>
        <v>0</v>
      </c>
    </row>
    <row r="27" spans="1:11" x14ac:dyDescent="0.3">
      <c r="E27" s="35" t="s">
        <v>652</v>
      </c>
      <c r="F27" s="28">
        <f>COUNTIF('Test Tracker'!AA2:AA101,"T0832 Manipulation of View")</f>
        <v>0</v>
      </c>
    </row>
    <row r="28" spans="1:11" x14ac:dyDescent="0.3">
      <c r="E28" s="35" t="s">
        <v>826</v>
      </c>
      <c r="F28" s="28">
        <f>COUNTIF('Test Tracker'!AA2:AA101,"T0882 Theft of Operational Information")</f>
        <v>0</v>
      </c>
    </row>
    <row r="30" spans="1:11" x14ac:dyDescent="0.3">
      <c r="E30" s="8" t="s">
        <v>1293</v>
      </c>
      <c r="F30" s="8"/>
      <c r="G30" s="8"/>
      <c r="H30" s="8"/>
      <c r="I30" s="8"/>
      <c r="J30" s="8"/>
      <c r="K30" s="8"/>
    </row>
    <row r="31" spans="1:11" x14ac:dyDescent="0.3">
      <c r="A31" s="27"/>
      <c r="B31" s="27"/>
      <c r="C31" s="27"/>
      <c r="D31" s="27"/>
      <c r="E31" s="16" t="s">
        <v>1294</v>
      </c>
      <c r="F31" s="16" t="s">
        <v>1278</v>
      </c>
    </row>
    <row r="32" spans="1:11" x14ac:dyDescent="0.3">
      <c r="E32" s="35" t="s">
        <v>1295</v>
      </c>
      <c r="F32" s="28">
        <f>COUNTIF('Test Tracker'!AB2:AB101,"Loss of Life / Injury")</f>
        <v>0</v>
      </c>
    </row>
    <row r="33" spans="5:6" x14ac:dyDescent="0.3">
      <c r="E33" s="35" t="s">
        <v>1296</v>
      </c>
      <c r="F33" s="28">
        <f>COUNTIF('Test Tracker'!AB2:AB101,"Environmental Release")</f>
        <v>0</v>
      </c>
    </row>
    <row r="34" spans="5:6" x14ac:dyDescent="0.3">
      <c r="E34" s="35" t="s">
        <v>1297</v>
      </c>
      <c r="F34" s="28">
        <f>COUNTIF('Test Tracker'!AB2:AB101,"Equipment Damage")</f>
        <v>0</v>
      </c>
    </row>
    <row r="35" spans="5:6" x14ac:dyDescent="0.3">
      <c r="E35" s="35" t="s">
        <v>1298</v>
      </c>
      <c r="F35" s="28">
        <f>COUNTIF('Test Tracker'!AB2:AB101,"Production Loss")</f>
        <v>0</v>
      </c>
    </row>
    <row r="36" spans="5:6" x14ac:dyDescent="0.3">
      <c r="E36" s="35" t="s">
        <v>1299</v>
      </c>
      <c r="F36" s="28">
        <f>COUNTIF('Test Tracker'!AB2:AB101,"Financial Loss")</f>
        <v>0</v>
      </c>
    </row>
    <row r="37" spans="5:6" x14ac:dyDescent="0.3">
      <c r="E37" s="35" t="s">
        <v>638</v>
      </c>
      <c r="F37" s="28">
        <f>COUNTIF('Test Tracker'!AB2:AB101,"Loss of View")</f>
        <v>0</v>
      </c>
    </row>
    <row r="38" spans="5:6" x14ac:dyDescent="0.3">
      <c r="E38" s="35" t="s">
        <v>630</v>
      </c>
      <c r="F38" s="28">
        <f>COUNTIF('Test Tracker'!AB2:AB101,"Loss of Control")</f>
        <v>0</v>
      </c>
    </row>
    <row r="39" spans="5:6" x14ac:dyDescent="0.3">
      <c r="E39" s="35" t="s">
        <v>1300</v>
      </c>
      <c r="F39" s="28">
        <f>COUNTIF('Test Tracker'!AB2:AB101,"Safety System Bypass")</f>
        <v>0</v>
      </c>
    </row>
    <row r="40" spans="5:6" x14ac:dyDescent="0.3">
      <c r="E40" s="35" t="s">
        <v>1301</v>
      </c>
      <c r="F40" s="28">
        <f>COUNTIF('Test Tracker'!AB2:AB101,"Fire/explosion")</f>
        <v>0</v>
      </c>
    </row>
    <row r="41" spans="5:6" x14ac:dyDescent="0.3">
      <c r="E41" s="35" t="s">
        <v>1302</v>
      </c>
      <c r="F41" s="28">
        <f>COUNTIF('Test Tracker'!AB2:AB101,"Cascading failure")</f>
        <v>0</v>
      </c>
    </row>
    <row r="42" spans="5:6" x14ac:dyDescent="0.3">
      <c r="E42" s="35" t="s">
        <v>1303</v>
      </c>
      <c r="F42" s="28">
        <f>COUNTIF('Test Tracker'!AB2:AB101,"PLC/RTU Logic Manipulation")</f>
        <v>0</v>
      </c>
    </row>
    <row r="43" spans="5:6" x14ac:dyDescent="0.3">
      <c r="E43" s="35" t="s">
        <v>1304</v>
      </c>
      <c r="F43" s="28">
        <f>COUNTIF('Test Tracker'!AB2:AB101,"SIS Bypass/Compromise")</f>
        <v>0</v>
      </c>
    </row>
    <row r="44" spans="5:6" x14ac:dyDescent="0.3">
      <c r="E44" s="35" t="s">
        <v>1305</v>
      </c>
      <c r="F44" s="28">
        <f>COUNTIF('Test Tracker'!AB2:AB101,"Human Error (Operator)")</f>
        <v>0</v>
      </c>
    </row>
  </sheetData>
  <mergeCells count="4">
    <mergeCell ref="A1:L1"/>
    <mergeCell ref="E3:K3"/>
    <mergeCell ref="E15:K15"/>
    <mergeCell ref="E30:K30"/>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sheetPr>
  <dimension ref="A1:F34"/>
  <sheetViews>
    <sheetView topLeftCell="A21" zoomScaleNormal="100" workbookViewId="0">
      <selection activeCell="H28" sqref="H28"/>
    </sheetView>
  </sheetViews>
  <sheetFormatPr defaultColWidth="8.6640625" defaultRowHeight="14.4" x14ac:dyDescent="0.3"/>
  <cols>
    <col min="1" max="1" width="25" customWidth="1"/>
    <col min="2" max="2" width="35" customWidth="1"/>
    <col min="3" max="6" width="15" customWidth="1"/>
  </cols>
  <sheetData>
    <row r="1" spans="1:6" ht="39.75" customHeight="1" x14ac:dyDescent="0.4">
      <c r="A1" s="7" t="s">
        <v>1306</v>
      </c>
      <c r="B1" s="7"/>
      <c r="C1" s="7"/>
      <c r="D1" s="7"/>
      <c r="E1" s="7"/>
      <c r="F1" s="7"/>
    </row>
    <row r="3" spans="1:6" ht="16.8" x14ac:dyDescent="0.3">
      <c r="A3" s="6" t="s">
        <v>1307</v>
      </c>
      <c r="B3" s="6"/>
      <c r="C3" s="6"/>
      <c r="D3" s="6"/>
      <c r="E3" s="6"/>
      <c r="F3" s="6"/>
    </row>
    <row r="4" spans="1:6" x14ac:dyDescent="0.3">
      <c r="A4" s="37" t="s">
        <v>1308</v>
      </c>
    </row>
    <row r="5" spans="1:6" x14ac:dyDescent="0.3">
      <c r="A5" s="37" t="s">
        <v>1309</v>
      </c>
      <c r="B5" t="s">
        <v>1310</v>
      </c>
    </row>
    <row r="6" spans="1:6" x14ac:dyDescent="0.3">
      <c r="A6" s="37" t="s">
        <v>1311</v>
      </c>
      <c r="B6" t="s">
        <v>1312</v>
      </c>
    </row>
    <row r="7" spans="1:6" x14ac:dyDescent="0.3">
      <c r="A7" s="37" t="s">
        <v>1313</v>
      </c>
    </row>
    <row r="8" spans="1:6" x14ac:dyDescent="0.3">
      <c r="A8" s="37" t="s">
        <v>1314</v>
      </c>
    </row>
    <row r="10" spans="1:6" ht="16.8" x14ac:dyDescent="0.3">
      <c r="A10" s="6" t="s">
        <v>1315</v>
      </c>
      <c r="B10" s="6"/>
      <c r="C10" s="6"/>
      <c r="D10" s="6"/>
      <c r="E10" s="6"/>
      <c r="F10" s="6"/>
    </row>
    <row r="11" spans="1:6" x14ac:dyDescent="0.3">
      <c r="A11" s="37" t="s">
        <v>1316</v>
      </c>
      <c r="B11" s="38"/>
    </row>
    <row r="13" spans="1:6" ht="16.8" x14ac:dyDescent="0.3">
      <c r="A13" s="6" t="s">
        <v>1317</v>
      </c>
      <c r="B13" s="6"/>
      <c r="C13" s="6"/>
      <c r="D13" s="6"/>
      <c r="E13" s="6"/>
      <c r="F13" s="6"/>
    </row>
    <row r="14" spans="1:6" x14ac:dyDescent="0.3">
      <c r="A14" s="37" t="s">
        <v>1318</v>
      </c>
      <c r="B14">
        <f>'Metrics Dashboard'!B4</f>
        <v>-100</v>
      </c>
    </row>
    <row r="15" spans="1:6" x14ac:dyDescent="0.3">
      <c r="A15" s="37" t="s">
        <v>1319</v>
      </c>
      <c r="B15">
        <f>'Metrics Dashboard'!B5</f>
        <v>0</v>
      </c>
    </row>
    <row r="16" spans="1:6" x14ac:dyDescent="0.3">
      <c r="A16" s="37" t="s">
        <v>1320</v>
      </c>
      <c r="B16">
        <f>'Metrics Dashboard'!B6</f>
        <v>0</v>
      </c>
    </row>
    <row r="17" spans="1:6" x14ac:dyDescent="0.3">
      <c r="A17" s="37" t="s">
        <v>1321</v>
      </c>
      <c r="B17">
        <f>'Metrics Dashboard'!B13</f>
        <v>0</v>
      </c>
    </row>
    <row r="18" spans="1:6" x14ac:dyDescent="0.3">
      <c r="A18" s="37" t="s">
        <v>1322</v>
      </c>
      <c r="B18">
        <f>'Metrics Dashboard'!B14</f>
        <v>0</v>
      </c>
    </row>
    <row r="19" spans="1:6" x14ac:dyDescent="0.3">
      <c r="A19" s="37" t="s">
        <v>1323</v>
      </c>
      <c r="B19">
        <f>'Metrics Dashboard'!B15</f>
        <v>0</v>
      </c>
    </row>
    <row r="20" spans="1:6" x14ac:dyDescent="0.3">
      <c r="A20" s="37" t="s">
        <v>1324</v>
      </c>
      <c r="B20">
        <f>'Metrics Dashboard'!B16</f>
        <v>0</v>
      </c>
    </row>
    <row r="22" spans="1:6" ht="16.8" x14ac:dyDescent="0.3">
      <c r="A22" s="6" t="s">
        <v>1325</v>
      </c>
      <c r="B22" s="6"/>
      <c r="C22" s="6"/>
      <c r="D22" s="6"/>
      <c r="E22" s="6"/>
      <c r="F22" s="6"/>
    </row>
    <row r="24" spans="1:6" x14ac:dyDescent="0.3">
      <c r="A24" s="5" t="s">
        <v>1326</v>
      </c>
      <c r="B24" s="5"/>
      <c r="C24" s="5"/>
      <c r="D24" s="5"/>
      <c r="E24" s="5"/>
      <c r="F24" s="5"/>
    </row>
    <row r="25" spans="1:6" ht="49.5" customHeight="1" x14ac:dyDescent="0.3">
      <c r="A25" s="42" t="s">
        <v>1342</v>
      </c>
      <c r="B25" s="4"/>
      <c r="C25" s="4"/>
      <c r="D25" s="4"/>
      <c r="E25" s="4"/>
      <c r="F25" s="4"/>
    </row>
    <row r="27" spans="1:6" x14ac:dyDescent="0.3">
      <c r="A27" s="45" t="s">
        <v>1338</v>
      </c>
      <c r="B27" s="3"/>
      <c r="C27" s="3"/>
      <c r="D27" s="3"/>
      <c r="E27" s="3"/>
      <c r="F27" s="3"/>
    </row>
    <row r="28" spans="1:6" ht="49.5" customHeight="1" x14ac:dyDescent="0.3">
      <c r="A28" s="42" t="s">
        <v>1339</v>
      </c>
      <c r="B28" s="4"/>
      <c r="C28" s="4"/>
      <c r="D28" s="4"/>
      <c r="E28" s="4"/>
      <c r="F28" s="4"/>
    </row>
    <row r="30" spans="1:6" x14ac:dyDescent="0.3">
      <c r="A30" s="2" t="s">
        <v>1327</v>
      </c>
      <c r="B30" s="2"/>
      <c r="C30" s="2"/>
      <c r="D30" s="2"/>
      <c r="E30" s="2"/>
      <c r="F30" s="2"/>
    </row>
    <row r="31" spans="1:6" ht="49.5" customHeight="1" x14ac:dyDescent="0.3">
      <c r="A31" s="42" t="s">
        <v>1340</v>
      </c>
      <c r="B31" s="4"/>
      <c r="C31" s="4"/>
      <c r="D31" s="4"/>
      <c r="E31" s="4"/>
      <c r="F31" s="4"/>
    </row>
    <row r="33" spans="1:6" x14ac:dyDescent="0.3">
      <c r="A33" s="1" t="s">
        <v>1328</v>
      </c>
      <c r="B33" s="1"/>
      <c r="C33" s="1"/>
      <c r="D33" s="1"/>
      <c r="E33" s="1"/>
      <c r="F33" s="1"/>
    </row>
    <row r="34" spans="1:6" ht="49.5" customHeight="1" x14ac:dyDescent="0.3">
      <c r="A34" s="42" t="s">
        <v>1341</v>
      </c>
      <c r="B34" s="4"/>
      <c r="C34" s="4"/>
      <c r="D34" s="4"/>
      <c r="E34" s="4"/>
      <c r="F34" s="4"/>
    </row>
  </sheetData>
  <mergeCells count="13">
    <mergeCell ref="A31:F31"/>
    <mergeCell ref="A33:F33"/>
    <mergeCell ref="A34:F34"/>
    <mergeCell ref="A24:F24"/>
    <mergeCell ref="A25:F25"/>
    <mergeCell ref="A27:F27"/>
    <mergeCell ref="A28:F28"/>
    <mergeCell ref="A30:F30"/>
    <mergeCell ref="A1:F1"/>
    <mergeCell ref="A3:F3"/>
    <mergeCell ref="A10:F10"/>
    <mergeCell ref="A13:F13"/>
    <mergeCell ref="A22:F22"/>
  </mergeCells>
  <dataValidations count="1">
    <dataValidation type="list" allowBlank="1" sqref="B11" xr:uid="{00000000-0002-0000-0900-000000000000}">
      <formula1>"Rejection,Limited Assurance,Conditional Assurance,Reasonable Assurance"</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Requirements Library</vt:lpstr>
      <vt:lpstr>MITRE ATT&amp;CK ICS</vt:lpstr>
      <vt:lpstr>Asset Inventory</vt:lpstr>
      <vt:lpstr>Test Tracker</vt:lpstr>
      <vt:lpstr>CVSS v4.0 Reference</vt:lpstr>
      <vt:lpstr>Risk Matrix</vt:lpstr>
      <vt:lpstr>POA&amp;M Tracker</vt:lpstr>
      <vt:lpstr>Metrics Dashboard</vt:lpstr>
      <vt:lpstr>Report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Isiah Jones</cp:lastModifiedBy>
  <cp:revision>1</cp:revision>
  <dcterms:created xsi:type="dcterms:W3CDTF">2026-05-25T07:05:15Z</dcterms:created>
  <dcterms:modified xsi:type="dcterms:W3CDTF">2026-05-26T02:14:58Z</dcterms:modified>
  <dc:language>en-US</dc:language>
</cp:coreProperties>
</file>