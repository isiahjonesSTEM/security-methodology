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e82463ac8fd362/Isiah Jones created material/"/>
    </mc:Choice>
  </mc:AlternateContent>
  <xr:revisionPtr revIDLastSave="11" documentId="11_D22098A9E31D1825E29654D9184FAC3D61BEF148" xr6:coauthVersionLast="47" xr6:coauthVersionMax="47" xr10:uidLastSave="{9CD5753B-EA40-44C3-B41B-4A094E773ECE}"/>
  <bookViews>
    <workbookView xWindow="-108" yWindow="-108" windowWidth="23256" windowHeight="12456" tabRatio="673" activeTab="13" xr2:uid="{00000000-000D-0000-FFFF-FFFF00000000}"/>
  </bookViews>
  <sheets>
    <sheet name="Asset Inventory" sheetId="1" r:id="rId1"/>
    <sheet name="HCE Register" sheetId="2" r:id="rId2"/>
    <sheet name="Attack Scenarios" sheetId="3" r:id="rId3"/>
    <sheet name="62443 Gap Analysis" sheetId="4" r:id="rId4"/>
    <sheet name="POA&amp;M" sheetId="5" r:id="rId5"/>
    <sheet name="Requirements Traceability" sheetId="6" r:id="rId6"/>
    <sheet name="V&amp;V Test Results" sheetId="7" r:id="rId7"/>
    <sheet name="Risk Matrix" sheetId="9" r:id="rId8"/>
    <sheet name="EMB3D Threat Analysis" sheetId="10" r:id="rId9"/>
    <sheet name="Compliance Mapping" sheetId="11" r:id="rId10"/>
    <sheet name="KPI Tracker" sheetId="8" r:id="rId11"/>
    <sheet name="Annex L KPI Master" sheetId="12" r:id="rId12"/>
    <sheet name="Annex L Monthly Tracker" sheetId="13" r:id="rId13"/>
    <sheet name="Formula Reference Guide" sheetId="14" r:id="rId14"/>
  </sheets>
  <definedNames>
    <definedName name="_xlnm._FilterDatabase" localSheetId="3" hidden="1">'62443 Gap Analysis'!$A$1:$I$26</definedName>
    <definedName name="_xlnm._FilterDatabase" localSheetId="0" hidden="1">'Asset Inventory'!$A$1:$K$21</definedName>
    <definedName name="_xlnm._FilterDatabase" localSheetId="2" hidden="1">'Attack Scenarios'!$A$1:$H$9</definedName>
    <definedName name="_xlnm._FilterDatabase" localSheetId="9" hidden="1">'Compliance Mapping'!$A$1:$G$9</definedName>
    <definedName name="_xlnm._FilterDatabase" localSheetId="8" hidden="1">'EMB3D Threat Analysis'!$A$1:$G$9</definedName>
    <definedName name="_xlnm._FilterDatabase" localSheetId="1" hidden="1">'HCE Register'!$A$1:$H$11</definedName>
    <definedName name="_xlnm._FilterDatabase" localSheetId="4" hidden="1">'POA&amp;M'!$A$1:$J$21</definedName>
    <definedName name="_xlnm._FilterDatabase" localSheetId="5" hidden="1">'Requirements Traceability'!$A$1:$H$26</definedName>
    <definedName name="_xlnm._FilterDatabase" localSheetId="6" hidden="1">'V&amp;V Test Results'!$A$1:$I$21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65" i="13" l="1"/>
  <c r="S64" i="13"/>
  <c r="S63" i="13"/>
  <c r="S62" i="13"/>
  <c r="S61" i="13"/>
  <c r="S60" i="13"/>
  <c r="S59" i="13"/>
  <c r="S57" i="13"/>
  <c r="S56" i="13"/>
  <c r="S55" i="13"/>
  <c r="S54" i="13"/>
  <c r="S52" i="13"/>
  <c r="S51" i="13"/>
  <c r="S50" i="13"/>
  <c r="S49" i="13"/>
  <c r="S47" i="13"/>
  <c r="S46" i="13"/>
  <c r="S45" i="13"/>
  <c r="S44" i="13"/>
  <c r="S43" i="13"/>
  <c r="S41" i="13"/>
  <c r="S40" i="13"/>
  <c r="S39" i="13"/>
  <c r="S38" i="13"/>
  <c r="S37" i="13"/>
  <c r="S36" i="13"/>
  <c r="S34" i="13"/>
  <c r="S33" i="13"/>
  <c r="S32" i="13"/>
  <c r="S31" i="13"/>
  <c r="S30" i="13"/>
  <c r="S29" i="13"/>
  <c r="S28" i="13"/>
  <c r="S27" i="13"/>
  <c r="S25" i="13"/>
  <c r="S24" i="13"/>
  <c r="S23" i="13"/>
  <c r="S22" i="13"/>
  <c r="S20" i="13"/>
  <c r="S19" i="13"/>
  <c r="S18" i="13"/>
  <c r="S17" i="13"/>
  <c r="S16" i="13"/>
  <c r="S14" i="13"/>
  <c r="S13" i="13"/>
  <c r="S12" i="13"/>
  <c r="S11" i="13"/>
  <c r="S10" i="13"/>
  <c r="S9" i="13"/>
  <c r="S7" i="13"/>
  <c r="S6" i="13"/>
  <c r="S5" i="13"/>
  <c r="S4" i="13"/>
  <c r="S3" i="13"/>
  <c r="N65" i="12"/>
  <c r="N64" i="12"/>
  <c r="N63" i="12"/>
  <c r="N62" i="12"/>
  <c r="N61" i="12"/>
  <c r="N60" i="12"/>
  <c r="N59" i="12"/>
  <c r="N57" i="12"/>
  <c r="N56" i="12"/>
  <c r="N55" i="12"/>
  <c r="N54" i="12"/>
  <c r="N52" i="12"/>
  <c r="N51" i="12"/>
  <c r="N50" i="12"/>
  <c r="N49" i="12"/>
  <c r="N47" i="12"/>
  <c r="N46" i="12"/>
  <c r="N45" i="12"/>
  <c r="N44" i="12"/>
  <c r="N43" i="12"/>
  <c r="N41" i="12"/>
  <c r="N40" i="12"/>
  <c r="N39" i="12"/>
  <c r="N38" i="12"/>
  <c r="N37" i="12"/>
  <c r="N36" i="12"/>
  <c r="N34" i="12"/>
  <c r="N33" i="12"/>
  <c r="N32" i="12"/>
  <c r="N31" i="12"/>
  <c r="N30" i="12"/>
  <c r="N29" i="12"/>
  <c r="N28" i="12"/>
  <c r="N27" i="12"/>
  <c r="N25" i="12"/>
  <c r="N24" i="12"/>
  <c r="N23" i="12"/>
  <c r="N22" i="12"/>
  <c r="N20" i="12"/>
  <c r="N19" i="12"/>
  <c r="N18" i="12"/>
  <c r="N17" i="12"/>
  <c r="N16" i="12"/>
  <c r="N14" i="12"/>
  <c r="N13" i="12"/>
  <c r="N12" i="12"/>
  <c r="N11" i="12"/>
  <c r="N10" i="12"/>
  <c r="N9" i="12"/>
  <c r="N7" i="12"/>
  <c r="N6" i="12"/>
  <c r="N5" i="12"/>
  <c r="N4" i="12"/>
  <c r="N3" i="12"/>
</calcChain>
</file>

<file path=xl/sharedStrings.xml><?xml version="1.0" encoding="utf-8"?>
<sst xmlns="http://schemas.openxmlformats.org/spreadsheetml/2006/main" count="1963" uniqueCount="834">
  <si>
    <t>Asset ID</t>
  </si>
  <si>
    <t>System Type</t>
  </si>
  <si>
    <t>Manufacturer</t>
  </si>
  <si>
    <t>Model</t>
  </si>
  <si>
    <t>Firmware/SW Version</t>
  </si>
  <si>
    <t>Network Zone</t>
  </si>
  <si>
    <t>Conduit ID</t>
  </si>
  <si>
    <t>SIL/Criticality</t>
  </si>
  <si>
    <t>Protocol(s)</t>
  </si>
  <si>
    <t>Physical Location</t>
  </si>
  <si>
    <t>Notes</t>
  </si>
  <si>
    <t>ASSET-001</t>
  </si>
  <si>
    <t>Safety Instrumented System (SIS)</t>
  </si>
  <si>
    <t>ASSET-002</t>
  </si>
  <si>
    <t>Basic Process Control System (BPCS)</t>
  </si>
  <si>
    <t>ASSET-003</t>
  </si>
  <si>
    <t>Distributed Control System (DCS)</t>
  </si>
  <si>
    <t>ASSET-004</t>
  </si>
  <si>
    <t>PLC (Standalone)</t>
  </si>
  <si>
    <t>ASSET-005</t>
  </si>
  <si>
    <t>RTU</t>
  </si>
  <si>
    <t>ASSET-006</t>
  </si>
  <si>
    <t>SCADA Server</t>
  </si>
  <si>
    <t>ASSET-007</t>
  </si>
  <si>
    <t>HMI Workstation</t>
  </si>
  <si>
    <t>ASSET-008</t>
  </si>
  <si>
    <t>Engineering Workstation</t>
  </si>
  <si>
    <t>ASSET-009</t>
  </si>
  <si>
    <t>Historian/Data Server</t>
  </si>
  <si>
    <t>ASSET-010</t>
  </si>
  <si>
    <t>IoT Gateway</t>
  </si>
  <si>
    <t>ASSET-011</t>
  </si>
  <si>
    <t>Smart Sensor/Actuator</t>
  </si>
  <si>
    <t>ASSET-012</t>
  </si>
  <si>
    <t>Fire &amp; Gas System (FGS)</t>
  </si>
  <si>
    <t>ASSET-013</t>
  </si>
  <si>
    <t>Burner Management System (BMS)</t>
  </si>
  <si>
    <t>ASSET-014</t>
  </si>
  <si>
    <t>VFD/Motor Controller</t>
  </si>
  <si>
    <t>ASSET-015</t>
  </si>
  <si>
    <t>Network Switch</t>
  </si>
  <si>
    <t>ASSET-016</t>
  </si>
  <si>
    <t>Industrial Firewall</t>
  </si>
  <si>
    <t>ASSET-017</t>
  </si>
  <si>
    <t>Wireless Access Point</t>
  </si>
  <si>
    <t>ASSET-018</t>
  </si>
  <si>
    <t>Remote Access Server</t>
  </si>
  <si>
    <t>ASSET-019</t>
  </si>
  <si>
    <t>Edge Computing Device</t>
  </si>
  <si>
    <t>ASSET-020</t>
  </si>
  <si>
    <t>Building Automation Controller</t>
  </si>
  <si>
    <t>HCE ID</t>
  </si>
  <si>
    <t>Description</t>
  </si>
  <si>
    <t>Affected System(s)</t>
  </si>
  <si>
    <t>Consequence Category</t>
  </si>
  <si>
    <t>Severity (1-5)</t>
  </si>
  <si>
    <t>Likelihood (1-5)</t>
  </si>
  <si>
    <t>Risk Level</t>
  </si>
  <si>
    <t>Mitigations</t>
  </si>
  <si>
    <t>HCE-001</t>
  </si>
  <si>
    <t>Loss of safety function due to SIS controller compromise</t>
  </si>
  <si>
    <t>SIS</t>
  </si>
  <si>
    <t>Safety</t>
  </si>
  <si>
    <t>5</t>
  </si>
  <si>
    <t>3</t>
  </si>
  <si>
    <t>High</t>
  </si>
  <si>
    <t>HCE-002</t>
  </si>
  <si>
    <t>Unauthorized process setpoint modification via BPCS</t>
  </si>
  <si>
    <t>BPCS/DCS</t>
  </si>
  <si>
    <t>Operational</t>
  </si>
  <si>
    <t>4</t>
  </si>
  <si>
    <t>HCE-003</t>
  </si>
  <si>
    <t>SCADA communication disruption causing loss of visibility</t>
  </si>
  <si>
    <t>SCADA/RTU</t>
  </si>
  <si>
    <t>HCE-004</t>
  </si>
  <si>
    <t>Ransomware propagation to HMI and historian systems</t>
  </si>
  <si>
    <t>HMI/Historian</t>
  </si>
  <si>
    <t>Financial</t>
  </si>
  <si>
    <t>HCE-005</t>
  </si>
  <si>
    <t>IoT device compromise enabling lateral movement to control network</t>
  </si>
  <si>
    <t>IoT/Edge</t>
  </si>
  <si>
    <t>Safety/Operational</t>
  </si>
  <si>
    <t>HCE-006</t>
  </si>
  <si>
    <t>Firmware manipulation of PLCs causing erratic actuator behavior</t>
  </si>
  <si>
    <t>PLC/Actuators</t>
  </si>
  <si>
    <t>2</t>
  </si>
  <si>
    <t>HCE-007</t>
  </si>
  <si>
    <t>Fire &amp; Gas system suppression via cyber attack</t>
  </si>
  <si>
    <t>FGS</t>
  </si>
  <si>
    <t>HCE-008</t>
  </si>
  <si>
    <t>Loss of building automation leading to environmental hazard</t>
  </si>
  <si>
    <t>BAS</t>
  </si>
  <si>
    <t>Safety/Environmental</t>
  </si>
  <si>
    <t>Medium</t>
  </si>
  <si>
    <t>HCE-009</t>
  </si>
  <si>
    <t>Supply chain compromise of PLC firmware update package</t>
  </si>
  <si>
    <t>PLC/RTU</t>
  </si>
  <si>
    <t>HCE-010</t>
  </si>
  <si>
    <t>Remote access exploitation for persistent unauthorized access</t>
  </si>
  <si>
    <t>VPN/Jump Host</t>
  </si>
  <si>
    <t>Scenario ID</t>
  </si>
  <si>
    <t>Target System</t>
  </si>
  <si>
    <t>Attack Objective</t>
  </si>
  <si>
    <t>Initial Access (MITRE)</t>
  </si>
  <si>
    <t>Execution (MITRE)</t>
  </si>
  <si>
    <t>Lateral Movement (MITRE)</t>
  </si>
  <si>
    <t>Impact (MITRE)</t>
  </si>
  <si>
    <t>Real-World Precedent</t>
  </si>
  <si>
    <t>AS-001</t>
  </si>
  <si>
    <t>Disable safety function</t>
  </si>
  <si>
    <t>Spearphishing (T0865)</t>
  </si>
  <si>
    <t>Modify Controller Tasking (T0821)</t>
  </si>
  <si>
    <t>Lateral Tool Transfer (T0867)</t>
  </si>
  <si>
    <t>Manipulation of Safety Systems (T0880)</t>
  </si>
  <si>
    <t>TRITON/TRISIS</t>
  </si>
  <si>
    <t>AS-002</t>
  </si>
  <si>
    <t>Modify process parameters</t>
  </si>
  <si>
    <t>External Remote Services (T0822)</t>
  </si>
  <si>
    <t>Command-Line Interface (T0807)</t>
  </si>
  <si>
    <t>Remote Services (T0886)</t>
  </si>
  <si>
    <t>Manipulation of Control (T0831)</t>
  </si>
  <si>
    <t>Stuxnet-style</t>
  </si>
  <si>
    <t>AS-003</t>
  </si>
  <si>
    <t>SCADA</t>
  </si>
  <si>
    <t>Disrupt supervisory control</t>
  </si>
  <si>
    <t>Internet Accessible Device (T0883)</t>
  </si>
  <si>
    <t>Scripting (T0853)</t>
  </si>
  <si>
    <t>Default Credentials (T0812)</t>
  </si>
  <si>
    <t>Denial of Control (T0813)</t>
  </si>
  <si>
    <t>Ukraine 2015</t>
  </si>
  <si>
    <t>AS-004</t>
  </si>
  <si>
    <t>Ransomware/data destruction</t>
  </si>
  <si>
    <t>Supply Chain Compromise (T0862)</t>
  </si>
  <si>
    <t>Execution through API (T0871)</t>
  </si>
  <si>
    <t>Valid Accounts (T0859)</t>
  </si>
  <si>
    <t>Data Destruction (T0809)</t>
  </si>
  <si>
    <t>EKANS/Snake</t>
  </si>
  <si>
    <t>AS-005</t>
  </si>
  <si>
    <t>Pivot to control network</t>
  </si>
  <si>
    <t>Wireless Compromise (T0860)</t>
  </si>
  <si>
    <t>Firmware Modification (T0839)</t>
  </si>
  <si>
    <t>Exploitation of Remote Services (T0866)</t>
  </si>
  <si>
    <t>Loss of View (T0829)</t>
  </si>
  <si>
    <t>Mirai variant</t>
  </si>
  <si>
    <t>AS-006</t>
  </si>
  <si>
    <t>Corrupt logic/firmware</t>
  </si>
  <si>
    <t>Engineering Workstation Compromise (T0818)</t>
  </si>
  <si>
    <t>Program Upload (T0845)</t>
  </si>
  <si>
    <t>Program Download (T0843)</t>
  </si>
  <si>
    <t>Loss of Control (T0827)</t>
  </si>
  <si>
    <t>INCONTROLLER/PIPEDREAM</t>
  </si>
  <si>
    <t>AS-007</t>
  </si>
  <si>
    <t>Suppress fire detection</t>
  </si>
  <si>
    <t>Inhibit Response Function (T0835)</t>
  </si>
  <si>
    <t>Targeted FGS attack</t>
  </si>
  <si>
    <t>AS-008</t>
  </si>
  <si>
    <t>Network Infrastructure</t>
  </si>
  <si>
    <t>MitM/traffic manipulation</t>
  </si>
  <si>
    <t>Exploit Public-Facing Application (T0819)</t>
  </si>
  <si>
    <t>Man in the Middle (T0830)</t>
  </si>
  <si>
    <t>ARP Spoofing</t>
  </si>
  <si>
    <t>Denial of Service (T0814)</t>
  </si>
  <si>
    <t>Network pivot</t>
  </si>
  <si>
    <t>Foundational Req</t>
  </si>
  <si>
    <t>System Req</t>
  </si>
  <si>
    <t>Requirement Name</t>
  </si>
  <si>
    <t>NIST 800-82 Mapping</t>
  </si>
  <si>
    <t>Current State</t>
  </si>
  <si>
    <t>Gap Description</t>
  </si>
  <si>
    <t>Required Action</t>
  </si>
  <si>
    <t>Priority (H/M/L)</t>
  </si>
  <si>
    <t>Owner</t>
  </si>
  <si>
    <t>FR1 - IAC</t>
  </si>
  <si>
    <t>SR 1.1</t>
  </si>
  <si>
    <t>User Identification &amp; Authentication</t>
  </si>
  <si>
    <t>AC-2, IA-2</t>
  </si>
  <si>
    <t>SR 1.2</t>
  </si>
  <si>
    <t>Software Process &amp; Device ID</t>
  </si>
  <si>
    <t>IA-3</t>
  </si>
  <si>
    <t>SR 1.3</t>
  </si>
  <si>
    <t>Account Management</t>
  </si>
  <si>
    <t>AC-2</t>
  </si>
  <si>
    <t>SR 1.5</t>
  </si>
  <si>
    <t>Authenticator Management</t>
  </si>
  <si>
    <t>IA-5</t>
  </si>
  <si>
    <t>SR 1.7</t>
  </si>
  <si>
    <t>Strength of Password Auth</t>
  </si>
  <si>
    <t>IA-5(1)</t>
  </si>
  <si>
    <t>FR2 - UC</t>
  </si>
  <si>
    <t>SR 2.1</t>
  </si>
  <si>
    <t>Authorization Enforcement</t>
  </si>
  <si>
    <t>AC-3, AC-6</t>
  </si>
  <si>
    <t>SR 2.2</t>
  </si>
  <si>
    <t>Wireless Use Control</t>
  </si>
  <si>
    <t>AC-18</t>
  </si>
  <si>
    <t>SR 2.3</t>
  </si>
  <si>
    <t>Use Control for Portable/Mobile</t>
  </si>
  <si>
    <t>AC-19, SC-15</t>
  </si>
  <si>
    <t>FR3 - SI</t>
  </si>
  <si>
    <t>SR 3.1</t>
  </si>
  <si>
    <t>Communication Integrity</t>
  </si>
  <si>
    <t>SC-8</t>
  </si>
  <si>
    <t>SR 3.2</t>
  </si>
  <si>
    <t>Malicious Code Protection</t>
  </si>
  <si>
    <t>SI-3</t>
  </si>
  <si>
    <t>SR 3.3</t>
  </si>
  <si>
    <t>Security Functionality Verification</t>
  </si>
  <si>
    <t>SI-6</t>
  </si>
  <si>
    <t>SR 3.4</t>
  </si>
  <si>
    <t>Software &amp; Info Integrity</t>
  </si>
  <si>
    <t>SI-7</t>
  </si>
  <si>
    <t>FR4 - DC</t>
  </si>
  <si>
    <t>SR 4.1</t>
  </si>
  <si>
    <t>Information Confidentiality</t>
  </si>
  <si>
    <t>SC-12, SC-13</t>
  </si>
  <si>
    <t>SR 4.3</t>
  </si>
  <si>
    <t>Use of Cryptography</t>
  </si>
  <si>
    <t>SC-13</t>
  </si>
  <si>
    <t>FR5 - RDF</t>
  </si>
  <si>
    <t>SR 5.1</t>
  </si>
  <si>
    <t>Network Segmentation</t>
  </si>
  <si>
    <t>SC-7, AC-4</t>
  </si>
  <si>
    <t>SR 5.2</t>
  </si>
  <si>
    <t>Zone Boundary Protection</t>
  </si>
  <si>
    <t>SC-7(5)</t>
  </si>
  <si>
    <t>SR 5.3</t>
  </si>
  <si>
    <t>General Purpose Person-Person Comm Restrict</t>
  </si>
  <si>
    <t>SC-7(8)</t>
  </si>
  <si>
    <t>FR6 - TRE</t>
  </si>
  <si>
    <t>SR 6.1</t>
  </si>
  <si>
    <t>Audit Log Accessibility</t>
  </si>
  <si>
    <t>AU-6, AU-9</t>
  </si>
  <si>
    <t>SR 6.2</t>
  </si>
  <si>
    <t>Continuous Monitoring</t>
  </si>
  <si>
    <t>CA-7, SI-4</t>
  </si>
  <si>
    <t>FR7 - RA</t>
  </si>
  <si>
    <t>SR 7.1</t>
  </si>
  <si>
    <t>Denial of Service Protection</t>
  </si>
  <si>
    <t>SC-5</t>
  </si>
  <si>
    <t>SR 7.2</t>
  </si>
  <si>
    <t>Resource Management</t>
  </si>
  <si>
    <t>SC-6</t>
  </si>
  <si>
    <t>SR 7.3</t>
  </si>
  <si>
    <t>Control System Backup</t>
  </si>
  <si>
    <t>CP-9</t>
  </si>
  <si>
    <t>SR 7.4</t>
  </si>
  <si>
    <t>Control System Recovery</t>
  </si>
  <si>
    <t>CP-10</t>
  </si>
  <si>
    <t>SR 7.6</t>
  </si>
  <si>
    <t>Network &amp; Security Config Settings</t>
  </si>
  <si>
    <t>CM-6, CM-7</t>
  </si>
  <si>
    <t>SR 7.7</t>
  </si>
  <si>
    <t>Least Functionality</t>
  </si>
  <si>
    <t>CM-7</t>
  </si>
  <si>
    <t>POA&amp;M ID</t>
  </si>
  <si>
    <t>Finding Source</t>
  </si>
  <si>
    <t>Corrective Action</t>
  </si>
  <si>
    <t>Responsible</t>
  </si>
  <si>
    <t>Target Date</t>
  </si>
  <si>
    <t>Status</t>
  </si>
  <si>
    <t>Completion Date</t>
  </si>
  <si>
    <t>POAM-001</t>
  </si>
  <si>
    <t>Open</t>
  </si>
  <si>
    <t>POAM-002</t>
  </si>
  <si>
    <t>POAM-003</t>
  </si>
  <si>
    <t>POAM-004</t>
  </si>
  <si>
    <t>POAM-005</t>
  </si>
  <si>
    <t>POAM-006</t>
  </si>
  <si>
    <t>POAM-007</t>
  </si>
  <si>
    <t>POAM-008</t>
  </si>
  <si>
    <t>POAM-009</t>
  </si>
  <si>
    <t>POAM-010</t>
  </si>
  <si>
    <t>POAM-011</t>
  </si>
  <si>
    <t>POAM-012</t>
  </si>
  <si>
    <t>POAM-013</t>
  </si>
  <si>
    <t>POAM-014</t>
  </si>
  <si>
    <t>POAM-015</t>
  </si>
  <si>
    <t>POAM-016</t>
  </si>
  <si>
    <t>POAM-017</t>
  </si>
  <si>
    <t>POAM-018</t>
  </si>
  <si>
    <t>POAM-019</t>
  </si>
  <si>
    <t>POAM-020</t>
  </si>
  <si>
    <t>Req ID</t>
  </si>
  <si>
    <t>Requirement</t>
  </si>
  <si>
    <t>Source Threat/HCE</t>
  </si>
  <si>
    <t>62443 Mapping</t>
  </si>
  <si>
    <t>NIST 800-82</t>
  </si>
  <si>
    <t>MITRE ATT&amp;CK/EMB3D</t>
  </si>
  <si>
    <t>Test Case ID</t>
  </si>
  <si>
    <t>V&amp;V Status</t>
  </si>
  <si>
    <t>SR-001</t>
  </si>
  <si>
    <t>Pending</t>
  </si>
  <si>
    <t>SR-002</t>
  </si>
  <si>
    <t>SR-003</t>
  </si>
  <si>
    <t>SR-004</t>
  </si>
  <si>
    <t>SR-005</t>
  </si>
  <si>
    <t>SR-006</t>
  </si>
  <si>
    <t>SR-007</t>
  </si>
  <si>
    <t>SR-008</t>
  </si>
  <si>
    <t>SR-009</t>
  </si>
  <si>
    <t>SR-010</t>
  </si>
  <si>
    <t>SR-011</t>
  </si>
  <si>
    <t>SR-012</t>
  </si>
  <si>
    <t>SR-013</t>
  </si>
  <si>
    <t>SR-014</t>
  </si>
  <si>
    <t>SR-015</t>
  </si>
  <si>
    <t>SR-016</t>
  </si>
  <si>
    <t>SR-017</t>
  </si>
  <si>
    <t>SR-018</t>
  </si>
  <si>
    <t>SR-019</t>
  </si>
  <si>
    <t>SR-020</t>
  </si>
  <si>
    <t>SR-021</t>
  </si>
  <si>
    <t>SR-022</t>
  </si>
  <si>
    <t>SR-023</t>
  </si>
  <si>
    <t>SR-024</t>
  </si>
  <si>
    <t>SR-025</t>
  </si>
  <si>
    <t>Test ID</t>
  </si>
  <si>
    <t>Objective</t>
  </si>
  <si>
    <t>Test Type</t>
  </si>
  <si>
    <t>Procedure Ref</t>
  </si>
  <si>
    <t>Result</t>
  </si>
  <si>
    <t>Findings</t>
  </si>
  <si>
    <t>Evidence Ref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</si>
  <si>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</si>
  <si>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</si>
  <si>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</si>
  <si>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</si>
  <si>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</si>
  <si>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</si>
  <si>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</si>
  <si>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</si>
  <si>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</si>
  <si>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</si>
  <si>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</si>
  <si>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</si>
  <si>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</si>
  <si>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</si>
  <si>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</si>
  <si>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</si>
  <si>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</si>
  <si>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</si>
  <si>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</si>
  <si>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</si>
  <si>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KPI ID</t>
  </si>
  <si>
    <t>Metric</t>
  </si>
  <si>
    <t>Unit</t>
  </si>
  <si>
    <t>Target</t>
  </si>
  <si>
    <t>Frequency</t>
  </si>
  <si>
    <t>Formula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</si>
  <si>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</si>
  <si>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</si>
  <si>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</si>
  <si>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</si>
  <si>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</si>
  <si>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</si>
  <si>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</si>
  <si>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</si>
  <si>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</si>
  <si>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</si>
  <si>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</si>
  <si>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</si>
  <si>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KPI-01</t>
  </si>
  <si>
    <t>Vulnerability Remediation Rate</t>
  </si>
  <si>
    <t>%</t>
  </si>
  <si>
    <t>&gt;90%</t>
  </si>
  <si>
    <t>Monthly</t>
  </si>
  <si>
    <t>(remediated/total)*100</t>
  </si>
  <si>
    <t>KPI-02</t>
  </si>
  <si>
    <t>Patch Currency</t>
  </si>
  <si>
    <t>&gt;85%</t>
  </si>
  <si>
    <t>(patched/total)*100</t>
  </si>
  <si>
    <t>KPI-03</t>
  </si>
  <si>
    <t>Security Assessment Coverage</t>
  </si>
  <si>
    <t>100%</t>
  </si>
  <si>
    <t>Annually</t>
  </si>
  <si>
    <t>(assessed/total)*100</t>
  </si>
  <si>
    <t>KPI-04</t>
  </si>
  <si>
    <t>Mean Time to Remediate (days)</t>
  </si>
  <si>
    <t>Days</t>
  </si>
  <si>
    <t>&lt;30</t>
  </si>
  <si>
    <t>avg(remediation_times)</t>
  </si>
  <si>
    <t>KPI-05</t>
  </si>
  <si>
    <t>Access Control Compliance</t>
  </si>
  <si>
    <t>&gt;95%</t>
  </si>
  <si>
    <t>Quarterly</t>
  </si>
  <si>
    <t>(compliant/total)*100</t>
  </si>
  <si>
    <t>KPI-06</t>
  </si>
  <si>
    <t>Backup Verification Rate</t>
  </si>
  <si>
    <t>(verified/total)*100</t>
  </si>
  <si>
    <t>KPI-07</t>
  </si>
  <si>
    <t>Security Training Completion</t>
  </si>
  <si>
    <t>(trained/required)*100</t>
  </si>
  <si>
    <t>KPI-08</t>
  </si>
  <si>
    <t>IR Drill Completion</t>
  </si>
  <si>
    <t>Count</t>
  </si>
  <si>
    <t>&gt;=2</t>
  </si>
  <si>
    <t>Semi-Annually</t>
  </si>
  <si>
    <t>Count of drills</t>
  </si>
  <si>
    <t>KPI-09</t>
  </si>
  <si>
    <t>Config Baseline Compliance</t>
  </si>
  <si>
    <t>KPI-10</t>
  </si>
  <si>
    <t>Network Segmentation Effectiveness</t>
  </si>
  <si>
    <t>KPI-11</t>
  </si>
  <si>
    <t>SL Achievement Rate</t>
  </si>
  <si>
    <t>(achieved/total)*100</t>
  </si>
  <si>
    <t>KPI-12</t>
  </si>
  <si>
    <t>Open POA&amp;M Aging (avg days)</t>
  </si>
  <si>
    <t>&lt;60</t>
  </si>
  <si>
    <t>avg(days_open)</t>
  </si>
  <si>
    <t>CYBER SECURITY RISK MATRIX</t>
  </si>
  <si>
    <t>Likelihood / Consequence →</t>
  </si>
  <si>
    <t>Negligible (1)</t>
  </si>
  <si>
    <t>Minor (2)</t>
  </si>
  <si>
    <t>Moderate (3)</t>
  </si>
  <si>
    <t>Major (4)</t>
  </si>
  <si>
    <t>Catastrophic (5)</t>
  </si>
  <si>
    <t>Almost Certain (5)</t>
  </si>
  <si>
    <t>Critical</t>
  </si>
  <si>
    <t>Likely (4)</t>
  </si>
  <si>
    <t>Low</t>
  </si>
  <si>
    <t>Possible (3)</t>
  </si>
  <si>
    <t>Unlikely (2)</t>
  </si>
  <si>
    <t>Rare (1)</t>
  </si>
  <si>
    <t>Device ID</t>
  </si>
  <si>
    <t>Device Type</t>
  </si>
  <si>
    <t>EMB3D Category</t>
  </si>
  <si>
    <t>Threat Property</t>
  </si>
  <si>
    <t>Attack Surface</t>
  </si>
  <si>
    <t>Mitigation</t>
  </si>
  <si>
    <t>EMB-001</t>
  </si>
  <si>
    <t>PLC</t>
  </si>
  <si>
    <t>Hardware</t>
  </si>
  <si>
    <t>Physical Debug Port Exposed</t>
  </si>
  <si>
    <t>JTAG/SWD</t>
  </si>
  <si>
    <t>EMB-002</t>
  </si>
  <si>
    <t>Firmware</t>
  </si>
  <si>
    <t>Unsigned Firmware Update</t>
  </si>
  <si>
    <t>OTA Update Interface</t>
  </si>
  <si>
    <t>EMB-003</t>
  </si>
  <si>
    <t>IoT Sensor</t>
  </si>
  <si>
    <t>Software</t>
  </si>
  <si>
    <t>Default Credentials</t>
  </si>
  <si>
    <t>Web Interface</t>
  </si>
  <si>
    <t>EMB-004</t>
  </si>
  <si>
    <t>Smart Actuator</t>
  </si>
  <si>
    <t>Network</t>
  </si>
  <si>
    <t>Unencrypted Protocol</t>
  </si>
  <si>
    <t>Modbus TCP</t>
  </si>
  <si>
    <t>EMB-005</t>
  </si>
  <si>
    <t>Edge Gateway</t>
  </si>
  <si>
    <t>Insecure Boot Process</t>
  </si>
  <si>
    <t>Boot Loader</t>
  </si>
  <si>
    <t>EMB-006</t>
  </si>
  <si>
    <t>Wireless Sensor</t>
  </si>
  <si>
    <t>RF Replay Attack</t>
  </si>
  <si>
    <t>ISA100.11a/WirelessHART</t>
  </si>
  <si>
    <t>EMB-007</t>
  </si>
  <si>
    <t>Safety Controller</t>
  </si>
  <si>
    <t>Side-Channel Leakage</t>
  </si>
  <si>
    <t>Power Analysis</t>
  </si>
  <si>
    <t>EMB-008</t>
  </si>
  <si>
    <t>VFD/Motor Drive</t>
  </si>
  <si>
    <t>Command Injection via Parameter</t>
  </si>
  <si>
    <t>Serial/Ethernet Config</t>
  </si>
  <si>
    <t>ISA 84.00.09 Phase</t>
  </si>
  <si>
    <t>ISA/IEC 62443</t>
  </si>
  <si>
    <t>NIST SP 800-82</t>
  </si>
  <si>
    <t>NIST SP 800-160</t>
  </si>
  <si>
    <t>NERC CIP</t>
  </si>
  <si>
    <t>IEC 61511</t>
  </si>
  <si>
    <t>MITRE ATT&amp;CK ICS</t>
  </si>
  <si>
    <t>Initial CSA</t>
  </si>
  <si>
    <t>62443-3-2</t>
  </si>
  <si>
    <t>Sec 6 Risk Mgmt</t>
  </si>
  <si>
    <t>Ch 3 Systems Analysis</t>
  </si>
  <si>
    <t>CIP-002</t>
  </si>
  <si>
    <t>Cl 8.2.4</t>
  </si>
  <si>
    <t>Recon/Initial Access</t>
  </si>
  <si>
    <t>Detailed CRA</t>
  </si>
  <si>
    <t>62443-3-3 FR Assess</t>
  </si>
  <si>
    <t>Sec 6.2 Threat Analysis</t>
  </si>
  <si>
    <t>Ch 3 Threat Modeling</t>
  </si>
  <si>
    <t>CIP-005</t>
  </si>
  <si>
    <t>All Tactics</t>
  </si>
  <si>
    <t>Requirements</t>
  </si>
  <si>
    <t>62443-3-3 SR/RE</t>
  </si>
  <si>
    <t>Sec 6.3 Controls</t>
  </si>
  <si>
    <t>Ch 4 Requirements</t>
  </si>
  <si>
    <t>CIP-005/007</t>
  </si>
  <si>
    <t>Cl 11.2.12</t>
  </si>
  <si>
    <t>Detection/Response</t>
  </si>
  <si>
    <t>Design</t>
  </si>
  <si>
    <t>62443-4-1 Secure Dev</t>
  </si>
  <si>
    <t>Sec 6.4 Architecture</t>
  </si>
  <si>
    <t>Ch 4 Architecture</t>
  </si>
  <si>
    <t>CIP-005/010</t>
  </si>
  <si>
    <t>Cl 11.3</t>
  </si>
  <si>
    <t>N/A</t>
  </si>
  <si>
    <t>Implementation</t>
  </si>
  <si>
    <t>62443-4-1 Impl</t>
  </si>
  <si>
    <t>Sec 6.5 Implementation</t>
  </si>
  <si>
    <t>Ch 5 Implementation</t>
  </si>
  <si>
    <t>CIP-007/010</t>
  </si>
  <si>
    <t>Cl 12</t>
  </si>
  <si>
    <t>V&amp;V</t>
  </si>
  <si>
    <t>62443-4-1 Testing</t>
  </si>
  <si>
    <t>Sec 6.6 Assessment</t>
  </si>
  <si>
    <t>Ch 5 Verification</t>
  </si>
  <si>
    <t>CIP-010</t>
  </si>
  <si>
    <t>Cl 13/15</t>
  </si>
  <si>
    <t>All (Red Team)</t>
  </si>
  <si>
    <t>Operations</t>
  </si>
  <si>
    <t>62443-2-1 CSMS</t>
  </si>
  <si>
    <t>Sec 6.7 Monitoring</t>
  </si>
  <si>
    <t>Ch 6 Operations</t>
  </si>
  <si>
    <t>CIP-006/008/009</t>
  </si>
  <si>
    <t>Cl 16</t>
  </si>
  <si>
    <t>Detect/Respond</t>
  </si>
  <si>
    <t>Mod/Decom</t>
  </si>
  <si>
    <t>62443-2-1 Chg Mgmt</t>
  </si>
  <si>
    <t>Sec 6.8 Change Mgmt</t>
  </si>
  <si>
    <t>Ch 7 Disposal</t>
  </si>
  <si>
    <t>CIP-010/011</t>
  </si>
  <si>
    <t>Cl 17</t>
  </si>
  <si>
    <t>Category</t>
  </si>
  <si>
    <t>Numerator Parameter</t>
  </si>
  <si>
    <t>Denominator Parameter</t>
  </si>
  <si>
    <t>Example Num</t>
  </si>
  <si>
    <t>Example Den</t>
  </si>
  <si>
    <t>Example Result</t>
  </si>
  <si>
    <t>YOUR Numerator</t>
  </si>
  <si>
    <t>YOUR Denominator</t>
  </si>
  <si>
    <t>CALCULATED Result</t>
  </si>
  <si>
    <t>Data Source</t>
  </si>
  <si>
    <t>L.1 CSMS Performance</t>
  </si>
  <si>
    <t>L.1.1</t>
  </si>
  <si>
    <t>CSMS Policy Compliance Rate</t>
  </si>
  <si>
    <t>Units compliant</t>
  </si>
  <si>
    <t>Total units</t>
  </si>
  <si>
    <t>L.1.2</t>
  </si>
  <si>
    <t>Management Review Completion</t>
  </si>
  <si>
    <t>Reviews completed</t>
  </si>
  <si>
    <t>Scheduled reviews</t>
  </si>
  <si>
    <t>L.1.3</t>
  </si>
  <si>
    <t>Resource Allocation Adequacy</t>
  </si>
  <si>
    <t>Actual resources ($)</t>
  </si>
  <si>
    <t>Required resources ($)</t>
  </si>
  <si>
    <t>&gt;=90%</t>
  </si>
  <si>
    <t>L.1.4</t>
  </si>
  <si>
    <t>Budget Execution Rate</t>
  </si>
  <si>
    <t>Actual expenditure ($)</t>
  </si>
  <si>
    <t>Approved budget ($)</t>
  </si>
  <si>
    <t>85-100%</t>
  </si>
  <si>
    <t>L.1.5</t>
  </si>
  <si>
    <t>Roles &amp; Responsibilities Coverage</t>
  </si>
  <si>
    <t>Filled positions</t>
  </si>
  <si>
    <t>Required positions</t>
  </si>
  <si>
    <t>Semi-annually</t>
  </si>
  <si>
    <t>L.2 Risk Assessment</t>
  </si>
  <si>
    <t>L.2.1</t>
  </si>
  <si>
    <t>ICSA Completion Rate</t>
  </si>
  <si>
    <t>Systems with ICSA</t>
  </si>
  <si>
    <t>Total systems</t>
  </si>
  <si>
    <t>L.2.2</t>
  </si>
  <si>
    <t>DCRA Completion Rate</t>
  </si>
  <si>
    <t>High-risk w/ DCRA</t>
  </si>
  <si>
    <t>Total high-risk</t>
  </si>
  <si>
    <t>L.2.3</t>
  </si>
  <si>
    <t>Risk Assessment Currency</t>
  </si>
  <si>
    <t>Current assessments</t>
  </si>
  <si>
    <t>Total required</t>
  </si>
  <si>
    <t>L.2.4</t>
  </si>
  <si>
    <t>Risk Mitigation Rate</t>
  </si>
  <si>
    <t>Risks mitigated</t>
  </si>
  <si>
    <t>Total risks</t>
  </si>
  <si>
    <t>&gt;=95%</t>
  </si>
  <si>
    <t>L.2.5</t>
  </si>
  <si>
    <t>Residual Risk Documentation</t>
  </si>
  <si>
    <t>Documented accepted</t>
  </si>
  <si>
    <t>Total accepted</t>
  </si>
  <si>
    <t>L.2.6</t>
  </si>
  <si>
    <t>HCE Coverage Rate</t>
  </si>
  <si>
    <t>HCEs analyzed</t>
  </si>
  <si>
    <t>Total HCEs</t>
  </si>
  <si>
    <t>L.3 Security Architecture</t>
  </si>
  <si>
    <t>L.3.1</t>
  </si>
  <si>
    <t>Zone/Conduit Doc Completeness</t>
  </si>
  <si>
    <t>Documented zones</t>
  </si>
  <si>
    <t>Total zones</t>
  </si>
  <si>
    <t>L.3.2</t>
  </si>
  <si>
    <t>SL-T Achievement Rate</t>
  </si>
  <si>
    <t>Zones SL-A&gt;=SL-T</t>
  </si>
  <si>
    <t>Total zones w/ SL-T</t>
  </si>
  <si>
    <t>L.3.3</t>
  </si>
  <si>
    <t>Network Segmentation Verification</t>
  </si>
  <si>
    <t>Verified boundaries</t>
  </si>
  <si>
    <t>Total boundaries</t>
  </si>
  <si>
    <t>L.3.4</t>
  </si>
  <si>
    <t>Defense-in-Depth Coverage</t>
  </si>
  <si>
    <t>Implemented layers</t>
  </si>
  <si>
    <t>Required layers</t>
  </si>
  <si>
    <t>L.3.5</t>
  </si>
  <si>
    <t>Architecture Review Currency</t>
  </si>
  <si>
    <t>Current docs</t>
  </si>
  <si>
    <t>Total arch docs</t>
  </si>
  <si>
    <t>L.4 Threat Management</t>
  </si>
  <si>
    <t>L.4.1</t>
  </si>
  <si>
    <t>Threat Intel Integration Rate</t>
  </si>
  <si>
    <t>Active sources</t>
  </si>
  <si>
    <t>Relevant sources</t>
  </si>
  <si>
    <t>&gt;=80%</t>
  </si>
  <si>
    <t>L.4.2</t>
  </si>
  <si>
    <t>Threat Assessment Update Freq</t>
  </si>
  <si>
    <t>Updated within SLA</t>
  </si>
  <si>
    <t>Updates required</t>
  </si>
  <si>
    <t>L.4.3</t>
  </si>
  <si>
    <t>Attack Surface Reduction</t>
  </si>
  <si>
    <t>Items eliminated</t>
  </si>
  <si>
    <t>Baseline items</t>
  </si>
  <si>
    <t>Continuous</t>
  </si>
  <si>
    <t>L.4.4</t>
  </si>
  <si>
    <t>ATT&amp;CK ICS Coverage Rate</t>
  </si>
  <si>
    <t>Techniques covered</t>
  </si>
  <si>
    <t>Applicable techniques</t>
  </si>
  <si>
    <t>&gt;=70%</t>
  </si>
  <si>
    <t>L.5 Vulnerability Mgmt</t>
  </si>
  <si>
    <t>L.5.1</t>
  </si>
  <si>
    <t>Vulnerability Identification Rate</t>
  </si>
  <si>
    <t>Systems assessed</t>
  </si>
  <si>
    <t>L.5.2</t>
  </si>
  <si>
    <t>Critical Vuln Remediation Rate</t>
  </si>
  <si>
    <t>Critical fixed in SLA</t>
  </si>
  <si>
    <t>Total critical</t>
  </si>
  <si>
    <t>L.5.3</t>
  </si>
  <si>
    <t>High Vuln Remediation Rate</t>
  </si>
  <si>
    <t>High fixed in SLA</t>
  </si>
  <si>
    <t>Total high</t>
  </si>
  <si>
    <t>L.5.4</t>
  </si>
  <si>
    <t>Med/Low Vuln Remediation Rate</t>
  </si>
  <si>
    <t>Med/Low fixed in SLA</t>
  </si>
  <si>
    <t>Total med/low</t>
  </si>
  <si>
    <t>&gt;=85%</t>
  </si>
  <si>
    <t>L.5.5</t>
  </si>
  <si>
    <t>MTTR - Critical</t>
  </si>
  <si>
    <t>Sum remediation hrs</t>
  </si>
  <si>
    <t>Count critical vulns</t>
  </si>
  <si>
    <t>Hours</t>
  </si>
  <si>
    <t>&lt;=72h</t>
  </si>
  <si>
    <t>L.5.6</t>
  </si>
  <si>
    <t>MTTR - All Severities</t>
  </si>
  <si>
    <t>Sum remediation days</t>
  </si>
  <si>
    <t>Count all vulns</t>
  </si>
  <si>
    <t>&lt;=30d</t>
  </si>
  <si>
    <t>L.5.7</t>
  </si>
  <si>
    <t>Patch Currency Rate</t>
  </si>
  <si>
    <t>Patched systems</t>
  </si>
  <si>
    <t>L.5.8</t>
  </si>
  <si>
    <t>Compensating Control Coverage</t>
  </si>
  <si>
    <t>Unpatched w/ controls</t>
  </si>
  <si>
    <t>Total unpatched</t>
  </si>
  <si>
    <t>L.6 Incident Management</t>
  </si>
  <si>
    <t>L.6.1</t>
  </si>
  <si>
    <t>MTTD</t>
  </si>
  <si>
    <t>Sum detection hrs</t>
  </si>
  <si>
    <t>Count events</t>
  </si>
  <si>
    <t>&lt;=24h</t>
  </si>
  <si>
    <t>L.6.2</t>
  </si>
  <si>
    <t>MTTR-I (Response)</t>
  </si>
  <si>
    <t>Sum response hrs</t>
  </si>
  <si>
    <t>Count incidents</t>
  </si>
  <si>
    <t>&lt;=4h</t>
  </si>
  <si>
    <t>L.6.3</t>
  </si>
  <si>
    <t>MTTR-R (Recovery)</t>
  </si>
  <si>
    <t>Sum recovery hrs</t>
  </si>
  <si>
    <t>&lt;=48h</t>
  </si>
  <si>
    <t>L.6.4</t>
  </si>
  <si>
    <t>IR Plan Test Completion</t>
  </si>
  <si>
    <t>Drills completed</t>
  </si>
  <si>
    <t>Drills scheduled</t>
  </si>
  <si>
    <t>L.6.5</t>
  </si>
  <si>
    <t>Incident Recurrence Rate</t>
  </si>
  <si>
    <t>Recurring incidents</t>
  </si>
  <si>
    <t>Total incidents</t>
  </si>
  <si>
    <t>&lt;=10%</t>
  </si>
  <si>
    <t>L.6.6</t>
  </si>
  <si>
    <t>Lessons Learned Implementation</t>
  </si>
  <si>
    <t>Implemented recs</t>
  </si>
  <si>
    <t>Total recs</t>
  </si>
  <si>
    <t>L.7 Compliance &amp; Audit</t>
  </si>
  <si>
    <t>L.7.1</t>
  </si>
  <si>
    <t>Security Policy Compliance</t>
  </si>
  <si>
    <t>Compliant systems</t>
  </si>
  <si>
    <t>Total assessed</t>
  </si>
  <si>
    <t>L.7.2</t>
  </si>
  <si>
    <t>Audit Finding Closure Rate</t>
  </si>
  <si>
    <t>Findings closed in SLA</t>
  </si>
  <si>
    <t>Total findings</t>
  </si>
  <si>
    <t>L.7.3</t>
  </si>
  <si>
    <t>Regulatory Compliance Rate</t>
  </si>
  <si>
    <t>Requirements met</t>
  </si>
  <si>
    <t>Total requirements</t>
  </si>
  <si>
    <t>L.7.4</t>
  </si>
  <si>
    <t>Systems on baseline</t>
  </si>
  <si>
    <t>Total baselined</t>
  </si>
  <si>
    <t>L.7.5</t>
  </si>
  <si>
    <t>Compliant accounts</t>
  </si>
  <si>
    <t>Total reviewed</t>
  </si>
  <si>
    <t>L.8 Training &amp; Awareness</t>
  </si>
  <si>
    <t>L.8.1</t>
  </si>
  <si>
    <t>Personnel trained</t>
  </si>
  <si>
    <t>Personnel required</t>
  </si>
  <si>
    <t>L.8.2</t>
  </si>
  <si>
    <t>Role-Based Training Coverage</t>
  </si>
  <si>
    <t>Roles with training</t>
  </si>
  <si>
    <t>Roles requiring</t>
  </si>
  <si>
    <t>L.8.3</t>
  </si>
  <si>
    <t>Awareness Assessment Score</t>
  </si>
  <si>
    <t>Sum scores</t>
  </si>
  <si>
    <t>Assessments taken</t>
  </si>
  <si>
    <t>L.8.4</t>
  </si>
  <si>
    <t>Social Engineering Performance</t>
  </si>
  <si>
    <t>Reported simulation</t>
  </si>
  <si>
    <t>Received simulation</t>
  </si>
  <si>
    <t>L.9 Supply Chain</t>
  </si>
  <si>
    <t>L.9.1</t>
  </si>
  <si>
    <t>Vendor Security Assessment</t>
  </si>
  <si>
    <t>Vendors assessed</t>
  </si>
  <si>
    <t>Critical vendors</t>
  </si>
  <si>
    <t>L.9.2</t>
  </si>
  <si>
    <t>Supply Chain Monitoring Coverage</t>
  </si>
  <si>
    <t>Components monitored</t>
  </si>
  <si>
    <t>Total components</t>
  </si>
  <si>
    <t>L.9.3</t>
  </si>
  <si>
    <t>Third-Party Access Compliance</t>
  </si>
  <si>
    <t>Compliant sessions</t>
  </si>
  <si>
    <t>Total sessions</t>
  </si>
  <si>
    <t>L.9.4</t>
  </si>
  <si>
    <t>SBOM Coverage Rate</t>
  </si>
  <si>
    <t>Components w/ SBOM</t>
  </si>
  <si>
    <t>Total deployed</t>
  </si>
  <si>
    <t>&gt;=75%</t>
  </si>
  <si>
    <t>L.10 Operational Effectiveness</t>
  </si>
  <si>
    <t>L.10.1</t>
  </si>
  <si>
    <t>Backup &amp; Recovery Test Success</t>
  </si>
  <si>
    <t>Tested systems</t>
  </si>
  <si>
    <t>Systems req backup</t>
  </si>
  <si>
    <t>L.10.2</t>
  </si>
  <si>
    <t>Security-Related Availability</t>
  </si>
  <si>
    <t>Uptime hrs</t>
  </si>
  <si>
    <t>Total hrs</t>
  </si>
  <si>
    <t>&gt;=99.5%</t>
  </si>
  <si>
    <t>L.10.3</t>
  </si>
  <si>
    <t>Change Mgmt Security Review</t>
  </si>
  <si>
    <t>Changes reviewed</t>
  </si>
  <si>
    <t>Total changes</t>
  </si>
  <si>
    <t>L.10.4</t>
  </si>
  <si>
    <t>POA&amp;M Closure Rate</t>
  </si>
  <si>
    <t>Closed on time</t>
  </si>
  <si>
    <t>Total due</t>
  </si>
  <si>
    <t>L.10.5</t>
  </si>
  <si>
    <t>POA&amp;M Aging (Avg Days)</t>
  </si>
  <si>
    <t>Sum days open</t>
  </si>
  <si>
    <t>Open items</t>
  </si>
  <si>
    <t>&lt;=60d</t>
  </si>
  <si>
    <t>L.10.6</t>
  </si>
  <si>
    <t>Security Monitoring Coverage</t>
  </si>
  <si>
    <t>Monitored systems</t>
  </si>
  <si>
    <t>L.10.7</t>
  </si>
  <si>
    <t>Control Effectiveness Score</t>
  </si>
  <si>
    <t>Controls effective</t>
  </si>
  <si>
    <t>Controls tested</t>
  </si>
  <si>
    <t>Freq</t>
  </si>
  <si>
    <t>YTD Avg</t>
  </si>
  <si>
    <t>Numerator (A)</t>
  </si>
  <si>
    <t>Where to Get A</t>
  </si>
  <si>
    <t>Denominator (B)</t>
  </si>
  <si>
    <t>Where to Get B</t>
  </si>
  <si>
    <t>Example Calculation</t>
  </si>
  <si>
    <t>Asset inventory, vuln scanner, assessment records, POA&amp;M, training DB, or monitoring tools</t>
  </si>
  <si>
    <t>Same source - total count from scope, asset inventory, or scheduling system</t>
  </si>
  <si>
    <t>Units compliant = 18, Total units = 20 =&gt; 90.0%</t>
  </si>
  <si>
    <t>Reviews completed = 2, Scheduled reviews = 2 =&gt; 100.0%</t>
  </si>
  <si>
    <t>Actual resources ($) = 1200000, Required resources ($) = 1500000 =&gt; 80.0%</t>
  </si>
  <si>
    <t>Actual expenditure ($) = 280000, Approved budget ($) = 350000 =&gt; 80.0%</t>
  </si>
  <si>
    <t>Filled positions = 14, Required positions = 16 =&gt; 87.5%</t>
  </si>
  <si>
    <t>Systems with ICSA = 120, Total systems = 120 =&gt; 100.0%</t>
  </si>
  <si>
    <t>High-risk w/ DCRA = 35, Total high-risk = 40 =&gt; 87.5%</t>
  </si>
  <si>
    <t>Current assessments = 38, Total required = 42 =&gt; 90.5%</t>
  </si>
  <si>
    <t>Risks mitigated = 180, Total risks = 195 =&gt; 92.3%</t>
  </si>
  <si>
    <t>Documented accepted = 15, Total accepted = 15 =&gt; 100.0%</t>
  </si>
  <si>
    <t>HCEs analyzed = 28, Total HCEs = 30 =&gt; 93.3%</t>
  </si>
  <si>
    <t>Documented zones = 24, Total zones = 26 =&gt; 92.3%</t>
  </si>
  <si>
    <t>Zones SL-A&gt;=SL-T = 10, Total zones w/ SL-T = 12 =&gt; 83.3%</t>
  </si>
  <si>
    <t>Verified boundaries = 18, Total boundaries = 18 =&gt; 100.0%</t>
  </si>
  <si>
    <t>Implemented layers = 4, Required layers = 5 =&gt; 80.0%</t>
  </si>
  <si>
    <t>Current docs = 7, Total arch docs = 8 =&gt; 87.5%</t>
  </si>
  <si>
    <t>Active sources = 6, Relevant sources = 8 =&gt; 75.0%</t>
  </si>
  <si>
    <t>Updated within SLA = 4, Updates required = 5 =&gt; 80.0%</t>
  </si>
  <si>
    <t>Items eliminated = 85, Baseline items = 340 =&gt; 25.0%</t>
  </si>
  <si>
    <t>Techniques covered = 52, Applicable techniques = 78 =&gt; 66.7%</t>
  </si>
  <si>
    <t>Systems assessed = 114, Total systems = 120 =&gt; 95.0%</t>
  </si>
  <si>
    <t>Critical fixed in SLA = 7, Total critical = 8 =&gt; 87.5%</t>
  </si>
  <si>
    <t>High fixed in SLA = 19, Total high = 22 =&gt; 86.4%</t>
  </si>
  <si>
    <t>Med/Low fixed in SLA = 40, Total med/low = 45 =&gt; 88.9%</t>
  </si>
  <si>
    <t>Sum remediation hrs = 480, Count critical vulns = 8 =&gt; 60.0Hours</t>
  </si>
  <si>
    <t>Sum remediation days = 1650, Count all vulns = 75 =&gt; 22.0Days</t>
  </si>
  <si>
    <t>Patched systems = 102, Total systems = 120 =&gt; 85.0%</t>
  </si>
  <si>
    <t>Unpatched w/ controls = 16, Total unpatched = 18 =&gt; 88.9%</t>
  </si>
  <si>
    <t>Sum detection hrs = 180, Count events = 12 =&gt; 15.0Hours</t>
  </si>
  <si>
    <t>Sum response hrs = 18, Count incidents = 6 =&gt; 3.0Hours</t>
  </si>
  <si>
    <t>Sum recovery hrs = 192, Count incidents = 6 =&gt; 32.0Hours</t>
  </si>
  <si>
    <t>Drills completed = 2, Drills scheduled = 3 =&gt; 66.7%</t>
  </si>
  <si>
    <t>Recurring incidents = 2, Total incidents = 15 =&gt; 13.3%</t>
  </si>
  <si>
    <t>Implemented recs = 24, Total recs = 28 =&gt; 85.7%</t>
  </si>
  <si>
    <t>Compliant systems = 112, Total assessed = 120 =&gt; 93.3%</t>
  </si>
  <si>
    <t>Findings closed in SLA = 28, Total findings = 32 =&gt; 87.5%</t>
  </si>
  <si>
    <t>Requirements met = 42, Total requirements = 45 =&gt; 93.3%</t>
  </si>
  <si>
    <t>Systems on baseline = 108, Total baselined = 120 =&gt; 90.0%</t>
  </si>
  <si>
    <t>Compliant accounts = 82, Total reviewed = 85 =&gt; 96.5%</t>
  </si>
  <si>
    <t>Personnel trained = 43, Personnel required = 45 =&gt; 95.6%</t>
  </si>
  <si>
    <t>Roles with training = 5, Roles requiring = 6 =&gt; 83.3%</t>
  </si>
  <si>
    <t>Sum scores = 3510, Assessments taken = 45 =&gt; 78.0%</t>
  </si>
  <si>
    <t>Reported simulation = 36, Received simulation = 45 =&gt; 80.0%</t>
  </si>
  <si>
    <t>Vendors assessed = 10, Critical vendors = 12 =&gt; 83.3%</t>
  </si>
  <si>
    <t>Components monitored = 195, Total components = 250 =&gt; 78.0%</t>
  </si>
  <si>
    <t>Compliant sessions = 38, Total sessions = 42 =&gt; 90.5%</t>
  </si>
  <si>
    <t>Components w/ SBOM = 110, Total deployed = 180 =&gt; 61.1%</t>
  </si>
  <si>
    <t>Tested systems = 90, Systems req backup = 95 =&gt; 94.7%</t>
  </si>
  <si>
    <t>Uptime hrs = 716.8, Total hrs = 720 =&gt; 99.56%</t>
  </si>
  <si>
    <t>Changes reviewed = 16, Total changes = 18 =&gt; 88.9%</t>
  </si>
  <si>
    <t>Closed on time = 17, Total due = 20 =&gt; 85.0%</t>
  </si>
  <si>
    <t>Sum days open = 504, Open items = 12 =&gt; 42.0Days</t>
  </si>
  <si>
    <t>Monitored systems = 108, Total systems = 120 =&gt; 90.0%</t>
  </si>
  <si>
    <t>Controls effective = 68, Controls tested = 78 =&gt; 87.2%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</si>
</sst>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1B3A5C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EDF2F7"/>
        <bgColor rgb="FFE8F5E9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F39C12"/>
        <bgColor rgb="FFFFCC00"/>
      </patternFill>
    </fill>
    <fill>
      <patternFill patternType="solid">
        <fgColor rgb="FFE74C3C"/>
        <bgColor rgb="FFC0392B"/>
      </patternFill>
    </fill>
    <fill>
      <patternFill patternType="solid">
        <fgColor rgb="FFC0392B"/>
        <bgColor rgb="FFE74C3C"/>
      </patternFill>
    </fill>
    <fill>
      <patternFill patternType="solid">
        <fgColor rgb="FF27AE60"/>
        <bgColor rgb="FF008080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DF2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10" borderId="1" xfId="0" applyFont="1" applyFill="1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164" fontId="0" fillId="12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E74C3C"/>
      <rgbColor rgb="FF666699"/>
      <rgbColor rgb="FF999999"/>
      <rgbColor rgb="FF1B3A5C"/>
      <rgbColor rgb="FF27AE60"/>
      <rgbColor rgb="FF003300"/>
      <rgbColor rgb="FF333300"/>
      <rgbColor rgb="FFC0392B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4.4" x14ac:dyDescent="0.3"/>
  <cols>
    <col min="1" max="1" width="12" customWidth="1"/>
    <col min="2" max="2" width="28" customWidth="1"/>
    <col min="3" max="3" width="18" customWidth="1"/>
    <col min="4" max="4" width="15" customWidth="1"/>
    <col min="5" max="5" width="18" customWidth="1"/>
    <col min="6" max="6" width="14" customWidth="1"/>
    <col min="7" max="7" width="12" customWidth="1"/>
    <col min="8" max="8" width="14" customWidth="1"/>
    <col min="9" max="9" width="20" customWidth="1"/>
    <col min="10" max="10" width="18" customWidth="1"/>
    <col min="11" max="11" width="20" customWidth="1"/>
  </cols>
  <sheetData>
    <row r="1" spans="1:11" ht="26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6.4" x14ac:dyDescent="0.3">
      <c r="A2" s="4" t="s">
        <v>11</v>
      </c>
      <c r="B2" s="4" t="s">
        <v>12</v>
      </c>
      <c r="C2" s="4"/>
      <c r="D2" s="4"/>
      <c r="E2" s="4"/>
      <c r="F2" s="4"/>
      <c r="G2" s="4"/>
      <c r="H2" s="4"/>
      <c r="I2" s="4"/>
      <c r="J2" s="4"/>
      <c r="K2" s="4"/>
    </row>
    <row r="3" spans="1:11" ht="26.4" x14ac:dyDescent="0.3">
      <c r="A3" s="5" t="s">
        <v>13</v>
      </c>
      <c r="B3" s="5" t="s">
        <v>14</v>
      </c>
      <c r="C3" s="5"/>
      <c r="D3" s="5"/>
      <c r="E3" s="5"/>
      <c r="F3" s="5"/>
      <c r="G3" s="5"/>
      <c r="H3" s="5"/>
      <c r="I3" s="5"/>
      <c r="J3" s="5"/>
      <c r="K3" s="5"/>
    </row>
    <row r="4" spans="1:11" ht="26.4" x14ac:dyDescent="0.3">
      <c r="A4" s="4" t="s">
        <v>15</v>
      </c>
      <c r="B4" s="4" t="s">
        <v>16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5" t="s">
        <v>17</v>
      </c>
      <c r="B5" s="5" t="s">
        <v>18</v>
      </c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4" t="s">
        <v>19</v>
      </c>
      <c r="B6" s="4" t="s">
        <v>20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5" t="s">
        <v>21</v>
      </c>
      <c r="B7" s="5" t="s">
        <v>22</v>
      </c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4" t="s">
        <v>23</v>
      </c>
      <c r="B8" s="4" t="s">
        <v>24</v>
      </c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5" t="s">
        <v>25</v>
      </c>
      <c r="B9" s="5" t="s">
        <v>26</v>
      </c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4" t="s">
        <v>27</v>
      </c>
      <c r="B10" s="4" t="s">
        <v>28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5" t="s">
        <v>29</v>
      </c>
      <c r="B11" s="5" t="s">
        <v>30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4" t="s">
        <v>31</v>
      </c>
      <c r="B12" s="4" t="s">
        <v>32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5" t="s">
        <v>33</v>
      </c>
      <c r="B13" s="5" t="s">
        <v>34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ht="26.4" x14ac:dyDescent="0.3">
      <c r="A14" s="4" t="s">
        <v>35</v>
      </c>
      <c r="B14" s="4" t="s">
        <v>36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">
      <c r="A15" s="5" t="s">
        <v>37</v>
      </c>
      <c r="B15" s="5" t="s">
        <v>38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s="4" t="s">
        <v>39</v>
      </c>
      <c r="B16" s="4" t="s">
        <v>40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5" t="s">
        <v>41</v>
      </c>
      <c r="B17" s="5" t="s">
        <v>42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3">
      <c r="A18" s="4" t="s">
        <v>43</v>
      </c>
      <c r="B18" s="4" t="s">
        <v>44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5" t="s">
        <v>45</v>
      </c>
      <c r="B19" s="5" t="s">
        <v>46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s="4" t="s">
        <v>47</v>
      </c>
      <c r="B20" s="4" t="s">
        <v>48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5" t="s">
        <v>49</v>
      </c>
      <c r="B21" s="5" t="s">
        <v>50</v>
      </c>
      <c r="C21" s="5"/>
      <c r="D21" s="5"/>
      <c r="E21" s="5"/>
      <c r="F21" s="5"/>
      <c r="G21" s="5"/>
      <c r="H21" s="5"/>
      <c r="I21" s="5"/>
      <c r="J21" s="5"/>
      <c r="K21" s="5"/>
    </row>
  </sheetData>
  <autoFilter ref="A1:K2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4.4" x14ac:dyDescent="0.3"/>
  <cols>
    <col min="1" max="1" width="10" customWidth="1"/>
    <col min="2" max="2" width="50" customWidth="1"/>
    <col min="3" max="3" width="18" customWidth="1"/>
    <col min="4" max="4" width="20" customWidth="1"/>
    <col min="5" max="6" width="14" customWidth="1"/>
    <col min="7" max="7" width="12" customWidth="1"/>
    <col min="8" max="8" width="30" customWidth="1"/>
  </cols>
  <sheetData>
    <row r="1" spans="1:8" ht="26.4" x14ac:dyDescent="0.3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</row>
    <row r="2" spans="1:8" x14ac:dyDescent="0.3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/>
    </row>
    <row r="3" spans="1:8" x14ac:dyDescent="0.3">
      <c r="A3" s="5" t="s">
        <v>66</v>
      </c>
      <c r="B3" s="5" t="s">
        <v>67</v>
      </c>
      <c r="C3" s="5" t="s">
        <v>68</v>
      </c>
      <c r="D3" s="5" t="s">
        <v>69</v>
      </c>
      <c r="E3" s="5" t="s">
        <v>70</v>
      </c>
      <c r="F3" s="5" t="s">
        <v>64</v>
      </c>
      <c r="G3" s="5" t="s">
        <v>65</v>
      </c>
      <c r="H3" s="5"/>
    </row>
    <row r="4" spans="1:8" x14ac:dyDescent="0.3">
      <c r="A4" s="4" t="s">
        <v>71</v>
      </c>
      <c r="B4" s="4" t="s">
        <v>72</v>
      </c>
      <c r="C4" s="4" t="s">
        <v>73</v>
      </c>
      <c r="D4" s="4" t="s">
        <v>69</v>
      </c>
      <c r="E4" s="4" t="s">
        <v>64</v>
      </c>
      <c r="F4" s="4" t="s">
        <v>70</v>
      </c>
      <c r="G4" s="4" t="s">
        <v>65</v>
      </c>
      <c r="H4" s="4"/>
    </row>
    <row r="5" spans="1:8" x14ac:dyDescent="0.3">
      <c r="A5" s="5" t="s">
        <v>74</v>
      </c>
      <c r="B5" s="5" t="s">
        <v>75</v>
      </c>
      <c r="C5" s="5" t="s">
        <v>76</v>
      </c>
      <c r="D5" s="5" t="s">
        <v>77</v>
      </c>
      <c r="E5" s="5" t="s">
        <v>64</v>
      </c>
      <c r="F5" s="5" t="s">
        <v>70</v>
      </c>
      <c r="G5" s="5" t="s">
        <v>65</v>
      </c>
      <c r="H5" s="5"/>
    </row>
    <row r="6" spans="1:8" ht="26.4" x14ac:dyDescent="0.3">
      <c r="A6" s="4" t="s">
        <v>78</v>
      </c>
      <c r="B6" s="4" t="s">
        <v>79</v>
      </c>
      <c r="C6" s="4" t="s">
        <v>80</v>
      </c>
      <c r="D6" s="4" t="s">
        <v>81</v>
      </c>
      <c r="E6" s="4" t="s">
        <v>70</v>
      </c>
      <c r="F6" s="4" t="s">
        <v>64</v>
      </c>
      <c r="G6" s="4" t="s">
        <v>65</v>
      </c>
      <c r="H6" s="4"/>
    </row>
    <row r="7" spans="1:8" ht="26.4" x14ac:dyDescent="0.3">
      <c r="A7" s="5" t="s">
        <v>82</v>
      </c>
      <c r="B7" s="5" t="s">
        <v>83</v>
      </c>
      <c r="C7" s="5" t="s">
        <v>84</v>
      </c>
      <c r="D7" s="5" t="s">
        <v>62</v>
      </c>
      <c r="E7" s="5" t="s">
        <v>63</v>
      </c>
      <c r="F7" s="5" t="s">
        <v>85</v>
      </c>
      <c r="G7" s="5" t="s">
        <v>65</v>
      </c>
      <c r="H7" s="5"/>
    </row>
    <row r="8" spans="1:8" x14ac:dyDescent="0.3">
      <c r="A8" s="4" t="s">
        <v>86</v>
      </c>
      <c r="B8" s="4" t="s">
        <v>87</v>
      </c>
      <c r="C8" s="4" t="s">
        <v>88</v>
      </c>
      <c r="D8" s="4" t="s">
        <v>62</v>
      </c>
      <c r="E8" s="4" t="s">
        <v>63</v>
      </c>
      <c r="F8" s="4" t="s">
        <v>85</v>
      </c>
      <c r="G8" s="4" t="s">
        <v>65</v>
      </c>
      <c r="H8" s="4"/>
    </row>
    <row r="9" spans="1:8" ht="26.4" x14ac:dyDescent="0.3">
      <c r="A9" s="5" t="s">
        <v>89</v>
      </c>
      <c r="B9" s="5" t="s">
        <v>90</v>
      </c>
      <c r="C9" s="5" t="s">
        <v>91</v>
      </c>
      <c r="D9" s="5" t="s">
        <v>92</v>
      </c>
      <c r="E9" s="5" t="s">
        <v>64</v>
      </c>
      <c r="F9" s="5" t="s">
        <v>64</v>
      </c>
      <c r="G9" s="5" t="s">
        <v>93</v>
      </c>
      <c r="H9" s="5"/>
    </row>
    <row r="10" spans="1:8" ht="26.4" x14ac:dyDescent="0.3">
      <c r="A10" s="4" t="s">
        <v>94</v>
      </c>
      <c r="B10" s="4" t="s">
        <v>95</v>
      </c>
      <c r="C10" s="4" t="s">
        <v>96</v>
      </c>
      <c r="D10" s="4" t="s">
        <v>81</v>
      </c>
      <c r="E10" s="4" t="s">
        <v>63</v>
      </c>
      <c r="F10" s="4" t="s">
        <v>85</v>
      </c>
      <c r="G10" s="4" t="s">
        <v>65</v>
      </c>
      <c r="H10" s="4"/>
    </row>
    <row r="11" spans="1:8" ht="26.4" x14ac:dyDescent="0.3">
      <c r="A11" s="5" t="s">
        <v>97</v>
      </c>
      <c r="B11" s="5" t="s">
        <v>98</v>
      </c>
      <c r="C11" s="5" t="s">
        <v>99</v>
      </c>
      <c r="D11" s="5" t="s">
        <v>69</v>
      </c>
      <c r="E11" s="5" t="s">
        <v>70</v>
      </c>
      <c r="F11" s="5" t="s">
        <v>64</v>
      </c>
      <c r="G11" s="5" t="s">
        <v>65</v>
      </c>
      <c r="H11" s="5"/>
    </row>
  </sheetData>
  <autoFilter ref="A1:H1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ColWidth="8.6640625" defaultRowHeight="14.4" x14ac:dyDescent="0.3"/>
  <cols>
    <col min="1" max="1" width="12" customWidth="1"/>
    <col min="2" max="2" width="18" customWidth="1"/>
    <col min="3" max="3" width="22" customWidth="1"/>
    <col min="4" max="7" width="28" customWidth="1"/>
    <col min="8" max="8" width="22" customWidth="1"/>
  </cols>
  <sheetData>
    <row r="1" spans="1:8" x14ac:dyDescent="0.3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</row>
    <row r="2" spans="1:8" ht="26.4" x14ac:dyDescent="0.3">
      <c r="A2" s="4" t="s">
        <v>108</v>
      </c>
      <c r="B2" s="4" t="s">
        <v>61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114</v>
      </c>
    </row>
    <row r="3" spans="1:8" ht="26.4" x14ac:dyDescent="0.3">
      <c r="A3" s="5" t="s">
        <v>115</v>
      </c>
      <c r="B3" s="5" t="s">
        <v>68</v>
      </c>
      <c r="C3" s="5" t="s">
        <v>116</v>
      </c>
      <c r="D3" s="5" t="s">
        <v>117</v>
      </c>
      <c r="E3" s="5" t="s">
        <v>118</v>
      </c>
      <c r="F3" s="5" t="s">
        <v>119</v>
      </c>
      <c r="G3" s="5" t="s">
        <v>120</v>
      </c>
      <c r="H3" s="5" t="s">
        <v>121</v>
      </c>
    </row>
    <row r="4" spans="1:8" ht="26.4" x14ac:dyDescent="0.3">
      <c r="A4" s="4" t="s">
        <v>122</v>
      </c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  <c r="G4" s="4" t="s">
        <v>128</v>
      </c>
      <c r="H4" s="4" t="s">
        <v>129</v>
      </c>
    </row>
    <row r="5" spans="1:8" ht="26.4" x14ac:dyDescent="0.3">
      <c r="A5" s="5" t="s">
        <v>130</v>
      </c>
      <c r="B5" s="5" t="s">
        <v>76</v>
      </c>
      <c r="C5" s="5" t="s">
        <v>131</v>
      </c>
      <c r="D5" s="5" t="s">
        <v>132</v>
      </c>
      <c r="E5" s="5" t="s">
        <v>133</v>
      </c>
      <c r="F5" s="5" t="s">
        <v>134</v>
      </c>
      <c r="G5" s="5" t="s">
        <v>135</v>
      </c>
      <c r="H5" s="5" t="s">
        <v>136</v>
      </c>
    </row>
    <row r="6" spans="1:8" ht="26.4" x14ac:dyDescent="0.3">
      <c r="A6" s="4" t="s">
        <v>137</v>
      </c>
      <c r="B6" s="4" t="s">
        <v>80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142</v>
      </c>
      <c r="H6" s="4" t="s">
        <v>143</v>
      </c>
    </row>
    <row r="7" spans="1:8" ht="26.4" x14ac:dyDescent="0.3">
      <c r="A7" s="5" t="s">
        <v>144</v>
      </c>
      <c r="B7" s="5" t="s">
        <v>96</v>
      </c>
      <c r="C7" s="5" t="s">
        <v>145</v>
      </c>
      <c r="D7" s="5" t="s">
        <v>146</v>
      </c>
      <c r="E7" s="5" t="s">
        <v>147</v>
      </c>
      <c r="F7" s="5" t="s">
        <v>148</v>
      </c>
      <c r="G7" s="5" t="s">
        <v>149</v>
      </c>
      <c r="H7" s="5" t="s">
        <v>150</v>
      </c>
    </row>
    <row r="8" spans="1:8" ht="26.4" x14ac:dyDescent="0.3">
      <c r="A8" s="4" t="s">
        <v>151</v>
      </c>
      <c r="B8" s="4" t="s">
        <v>88</v>
      </c>
      <c r="C8" s="4" t="s">
        <v>152</v>
      </c>
      <c r="D8" s="4" t="s">
        <v>110</v>
      </c>
      <c r="E8" s="4" t="s">
        <v>111</v>
      </c>
      <c r="F8" s="4" t="s">
        <v>112</v>
      </c>
      <c r="G8" s="4" t="s">
        <v>153</v>
      </c>
      <c r="H8" s="4" t="s">
        <v>154</v>
      </c>
    </row>
    <row r="9" spans="1:8" ht="26.4" x14ac:dyDescent="0.3">
      <c r="A9" s="5" t="s">
        <v>155</v>
      </c>
      <c r="B9" s="5" t="s">
        <v>156</v>
      </c>
      <c r="C9" s="5" t="s">
        <v>157</v>
      </c>
      <c r="D9" s="5" t="s">
        <v>158</v>
      </c>
      <c r="E9" s="5" t="s">
        <v>159</v>
      </c>
      <c r="F9" s="5" t="s">
        <v>160</v>
      </c>
      <c r="G9" s="5" t="s">
        <v>161</v>
      </c>
      <c r="H9" s="5" t="s">
        <v>162</v>
      </c>
    </row>
  </sheetData>
  <autoFilter ref="A1:H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4.4" x14ac:dyDescent="0.3"/>
  <cols>
    <col min="1" max="1" width="14" customWidth="1"/>
    <col min="2" max="2" width="10" customWidth="1"/>
    <col min="3" max="3" width="32" customWidth="1"/>
    <col min="4" max="4" width="16" customWidth="1"/>
    <col min="5" max="5" width="18" customWidth="1"/>
    <col min="6" max="7" width="28" customWidth="1"/>
    <col min="8" max="9" width="14" customWidth="1"/>
  </cols>
  <sheetData>
    <row r="1" spans="1:9" ht="26.4" x14ac:dyDescent="0.3">
      <c r="A1" s="3" t="s">
        <v>163</v>
      </c>
      <c r="B1" s="3" t="s">
        <v>164</v>
      </c>
      <c r="C1" s="3" t="s">
        <v>165</v>
      </c>
      <c r="D1" s="3" t="s">
        <v>166</v>
      </c>
      <c r="E1" s="3" t="s">
        <v>167</v>
      </c>
      <c r="F1" s="3" t="s">
        <v>168</v>
      </c>
      <c r="G1" s="3" t="s">
        <v>169</v>
      </c>
      <c r="H1" s="3" t="s">
        <v>170</v>
      </c>
      <c r="I1" s="3" t="s">
        <v>171</v>
      </c>
    </row>
    <row r="2" spans="1:9" x14ac:dyDescent="0.3">
      <c r="A2" s="4" t="s">
        <v>172</v>
      </c>
      <c r="B2" s="4" t="s">
        <v>173</v>
      </c>
      <c r="C2" s="4" t="s">
        <v>174</v>
      </c>
      <c r="D2" s="4" t="s">
        <v>175</v>
      </c>
      <c r="E2" s="4"/>
      <c r="F2" s="4"/>
      <c r="G2" s="4"/>
      <c r="H2" s="4"/>
      <c r="I2" s="4"/>
    </row>
    <row r="3" spans="1:9" x14ac:dyDescent="0.3">
      <c r="A3" s="5" t="s">
        <v>172</v>
      </c>
      <c r="B3" s="5" t="s">
        <v>176</v>
      </c>
      <c r="C3" s="5" t="s">
        <v>177</v>
      </c>
      <c r="D3" s="5" t="s">
        <v>178</v>
      </c>
      <c r="E3" s="5"/>
      <c r="F3" s="5"/>
      <c r="G3" s="5"/>
      <c r="H3" s="5"/>
      <c r="I3" s="5"/>
    </row>
    <row r="4" spans="1:9" x14ac:dyDescent="0.3">
      <c r="A4" s="4" t="s">
        <v>172</v>
      </c>
      <c r="B4" s="4" t="s">
        <v>179</v>
      </c>
      <c r="C4" s="4" t="s">
        <v>180</v>
      </c>
      <c r="D4" s="4" t="s">
        <v>181</v>
      </c>
      <c r="E4" s="4"/>
      <c r="F4" s="4"/>
      <c r="G4" s="4"/>
      <c r="H4" s="4"/>
      <c r="I4" s="4"/>
    </row>
    <row r="5" spans="1:9" x14ac:dyDescent="0.3">
      <c r="A5" s="5" t="s">
        <v>172</v>
      </c>
      <c r="B5" s="5" t="s">
        <v>182</v>
      </c>
      <c r="C5" s="5" t="s">
        <v>183</v>
      </c>
      <c r="D5" s="5" t="s">
        <v>184</v>
      </c>
      <c r="E5" s="5"/>
      <c r="F5" s="5"/>
      <c r="G5" s="5"/>
      <c r="H5" s="5"/>
      <c r="I5" s="5"/>
    </row>
    <row r="6" spans="1:9" x14ac:dyDescent="0.3">
      <c r="A6" s="4" t="s">
        <v>172</v>
      </c>
      <c r="B6" s="4" t="s">
        <v>185</v>
      </c>
      <c r="C6" s="4" t="s">
        <v>186</v>
      </c>
      <c r="D6" s="4" t="s">
        <v>187</v>
      </c>
      <c r="E6" s="4"/>
      <c r="F6" s="4"/>
      <c r="G6" s="4"/>
      <c r="H6" s="4"/>
      <c r="I6" s="4"/>
    </row>
    <row r="7" spans="1:9" x14ac:dyDescent="0.3">
      <c r="A7" s="5" t="s">
        <v>188</v>
      </c>
      <c r="B7" s="5" t="s">
        <v>189</v>
      </c>
      <c r="C7" s="5" t="s">
        <v>190</v>
      </c>
      <c r="D7" s="5" t="s">
        <v>191</v>
      </c>
      <c r="E7" s="5"/>
      <c r="F7" s="5"/>
      <c r="G7" s="5"/>
      <c r="H7" s="5"/>
      <c r="I7" s="5"/>
    </row>
    <row r="8" spans="1:9" x14ac:dyDescent="0.3">
      <c r="A8" s="4" t="s">
        <v>188</v>
      </c>
      <c r="B8" s="4" t="s">
        <v>192</v>
      </c>
      <c r="C8" s="4" t="s">
        <v>193</v>
      </c>
      <c r="D8" s="4" t="s">
        <v>194</v>
      </c>
      <c r="E8" s="4"/>
      <c r="F8" s="4"/>
      <c r="G8" s="4"/>
      <c r="H8" s="4"/>
      <c r="I8" s="4"/>
    </row>
    <row r="9" spans="1:9" x14ac:dyDescent="0.3">
      <c r="A9" s="5" t="s">
        <v>188</v>
      </c>
      <c r="B9" s="5" t="s">
        <v>195</v>
      </c>
      <c r="C9" s="5" t="s">
        <v>196</v>
      </c>
      <c r="D9" s="5" t="s">
        <v>197</v>
      </c>
      <c r="E9" s="5"/>
      <c r="F9" s="5"/>
      <c r="G9" s="5"/>
      <c r="H9" s="5"/>
      <c r="I9" s="5"/>
    </row>
    <row r="10" spans="1:9" x14ac:dyDescent="0.3">
      <c r="A10" s="4" t="s">
        <v>198</v>
      </c>
      <c r="B10" s="4" t="s">
        <v>199</v>
      </c>
      <c r="C10" s="4" t="s">
        <v>200</v>
      </c>
      <c r="D10" s="4" t="s">
        <v>201</v>
      </c>
      <c r="E10" s="4"/>
      <c r="F10" s="4"/>
      <c r="G10" s="4"/>
      <c r="H10" s="4"/>
      <c r="I10" s="4"/>
    </row>
    <row r="11" spans="1:9" x14ac:dyDescent="0.3">
      <c r="A11" s="5" t="s">
        <v>198</v>
      </c>
      <c r="B11" s="5" t="s">
        <v>202</v>
      </c>
      <c r="C11" s="5" t="s">
        <v>203</v>
      </c>
      <c r="D11" s="5" t="s">
        <v>204</v>
      </c>
      <c r="E11" s="5"/>
      <c r="F11" s="5"/>
      <c r="G11" s="5"/>
      <c r="H11" s="5"/>
      <c r="I11" s="5"/>
    </row>
    <row r="12" spans="1:9" x14ac:dyDescent="0.3">
      <c r="A12" s="4" t="s">
        <v>198</v>
      </c>
      <c r="B12" s="4" t="s">
        <v>205</v>
      </c>
      <c r="C12" s="4" t="s">
        <v>206</v>
      </c>
      <c r="D12" s="4" t="s">
        <v>207</v>
      </c>
      <c r="E12" s="4"/>
      <c r="F12" s="4"/>
      <c r="G12" s="4"/>
      <c r="H12" s="4"/>
      <c r="I12" s="4"/>
    </row>
    <row r="13" spans="1:9" x14ac:dyDescent="0.3">
      <c r="A13" s="5" t="s">
        <v>198</v>
      </c>
      <c r="B13" s="5" t="s">
        <v>208</v>
      </c>
      <c r="C13" s="5" t="s">
        <v>209</v>
      </c>
      <c r="D13" s="5" t="s">
        <v>210</v>
      </c>
      <c r="E13" s="5"/>
      <c r="F13" s="5"/>
      <c r="G13" s="5"/>
      <c r="H13" s="5"/>
      <c r="I13" s="5"/>
    </row>
    <row r="14" spans="1:9" x14ac:dyDescent="0.3">
      <c r="A14" s="4" t="s">
        <v>211</v>
      </c>
      <c r="B14" s="4" t="s">
        <v>212</v>
      </c>
      <c r="C14" s="4" t="s">
        <v>213</v>
      </c>
      <c r="D14" s="4" t="s">
        <v>214</v>
      </c>
      <c r="E14" s="4"/>
      <c r="F14" s="4"/>
      <c r="G14" s="4"/>
      <c r="H14" s="4"/>
      <c r="I14" s="4"/>
    </row>
    <row r="15" spans="1:9" x14ac:dyDescent="0.3">
      <c r="A15" s="5" t="s">
        <v>211</v>
      </c>
      <c r="B15" s="5" t="s">
        <v>215</v>
      </c>
      <c r="C15" s="5" t="s">
        <v>216</v>
      </c>
      <c r="D15" s="5" t="s">
        <v>217</v>
      </c>
      <c r="E15" s="5"/>
      <c r="F15" s="5"/>
      <c r="G15" s="5"/>
      <c r="H15" s="5"/>
      <c r="I15" s="5"/>
    </row>
    <row r="16" spans="1:9" x14ac:dyDescent="0.3">
      <c r="A16" s="4" t="s">
        <v>218</v>
      </c>
      <c r="B16" s="4" t="s">
        <v>219</v>
      </c>
      <c r="C16" s="4" t="s">
        <v>220</v>
      </c>
      <c r="D16" s="4" t="s">
        <v>221</v>
      </c>
      <c r="E16" s="4"/>
      <c r="F16" s="4"/>
      <c r="G16" s="4"/>
      <c r="H16" s="4"/>
      <c r="I16" s="4"/>
    </row>
    <row r="17" spans="1:9" x14ac:dyDescent="0.3">
      <c r="A17" s="5" t="s">
        <v>218</v>
      </c>
      <c r="B17" s="5" t="s">
        <v>222</v>
      </c>
      <c r="C17" s="5" t="s">
        <v>223</v>
      </c>
      <c r="D17" s="5" t="s">
        <v>224</v>
      </c>
      <c r="E17" s="5"/>
      <c r="F17" s="5"/>
      <c r="G17" s="5"/>
      <c r="H17" s="5"/>
      <c r="I17" s="5"/>
    </row>
    <row r="18" spans="1:9" ht="26.4" x14ac:dyDescent="0.3">
      <c r="A18" s="4" t="s">
        <v>218</v>
      </c>
      <c r="B18" s="4" t="s">
        <v>225</v>
      </c>
      <c r="C18" s="4" t="s">
        <v>226</v>
      </c>
      <c r="D18" s="4" t="s">
        <v>227</v>
      </c>
      <c r="E18" s="4"/>
      <c r="F18" s="4"/>
      <c r="G18" s="4"/>
      <c r="H18" s="4"/>
      <c r="I18" s="4"/>
    </row>
    <row r="19" spans="1:9" x14ac:dyDescent="0.3">
      <c r="A19" s="5" t="s">
        <v>228</v>
      </c>
      <c r="B19" s="5" t="s">
        <v>229</v>
      </c>
      <c r="C19" s="5" t="s">
        <v>230</v>
      </c>
      <c r="D19" s="5" t="s">
        <v>231</v>
      </c>
      <c r="E19" s="5"/>
      <c r="F19" s="5"/>
      <c r="G19" s="5"/>
      <c r="H19" s="5"/>
      <c r="I19" s="5"/>
    </row>
    <row r="20" spans="1:9" x14ac:dyDescent="0.3">
      <c r="A20" s="4" t="s">
        <v>228</v>
      </c>
      <c r="B20" s="4" t="s">
        <v>232</v>
      </c>
      <c r="C20" s="4" t="s">
        <v>233</v>
      </c>
      <c r="D20" s="4" t="s">
        <v>234</v>
      </c>
      <c r="E20" s="4"/>
      <c r="F20" s="4"/>
      <c r="G20" s="4"/>
      <c r="H20" s="4"/>
      <c r="I20" s="4"/>
    </row>
    <row r="21" spans="1:9" x14ac:dyDescent="0.3">
      <c r="A21" s="5" t="s">
        <v>235</v>
      </c>
      <c r="B21" s="5" t="s">
        <v>236</v>
      </c>
      <c r="C21" s="5" t="s">
        <v>237</v>
      </c>
      <c r="D21" s="5" t="s">
        <v>238</v>
      </c>
      <c r="E21" s="5"/>
      <c r="F21" s="5"/>
      <c r="G21" s="5"/>
      <c r="H21" s="5"/>
      <c r="I21" s="5"/>
    </row>
    <row r="22" spans="1:9" x14ac:dyDescent="0.3">
      <c r="A22" s="4" t="s">
        <v>235</v>
      </c>
      <c r="B22" s="4" t="s">
        <v>239</v>
      </c>
      <c r="C22" s="4" t="s">
        <v>240</v>
      </c>
      <c r="D22" s="4" t="s">
        <v>241</v>
      </c>
      <c r="E22" s="4"/>
      <c r="F22" s="4"/>
      <c r="G22" s="4"/>
      <c r="H22" s="4"/>
      <c r="I22" s="4"/>
    </row>
    <row r="23" spans="1:9" x14ac:dyDescent="0.3">
      <c r="A23" s="5" t="s">
        <v>235</v>
      </c>
      <c r="B23" s="5" t="s">
        <v>242</v>
      </c>
      <c r="C23" s="5" t="s">
        <v>243</v>
      </c>
      <c r="D23" s="5" t="s">
        <v>244</v>
      </c>
      <c r="E23" s="5"/>
      <c r="F23" s="5"/>
      <c r="G23" s="5"/>
      <c r="H23" s="5"/>
      <c r="I23" s="5"/>
    </row>
    <row r="24" spans="1:9" x14ac:dyDescent="0.3">
      <c r="A24" s="4" t="s">
        <v>235</v>
      </c>
      <c r="B24" s="4" t="s">
        <v>245</v>
      </c>
      <c r="C24" s="4" t="s">
        <v>246</v>
      </c>
      <c r="D24" s="4" t="s">
        <v>247</v>
      </c>
      <c r="E24" s="4"/>
      <c r="F24" s="4"/>
      <c r="G24" s="4"/>
      <c r="H24" s="4"/>
      <c r="I24" s="4"/>
    </row>
    <row r="25" spans="1:9" x14ac:dyDescent="0.3">
      <c r="A25" s="5" t="s">
        <v>235</v>
      </c>
      <c r="B25" s="5" t="s">
        <v>248</v>
      </c>
      <c r="C25" s="5" t="s">
        <v>249</v>
      </c>
      <c r="D25" s="5" t="s">
        <v>250</v>
      </c>
      <c r="E25" s="5"/>
      <c r="F25" s="5"/>
      <c r="G25" s="5"/>
      <c r="H25" s="5"/>
      <c r="I25" s="5"/>
    </row>
    <row r="26" spans="1:9" x14ac:dyDescent="0.3">
      <c r="A26" s="4" t="s">
        <v>235</v>
      </c>
      <c r="B26" s="4" t="s">
        <v>251</v>
      </c>
      <c r="C26" s="4" t="s">
        <v>252</v>
      </c>
      <c r="D26" s="4" t="s">
        <v>253</v>
      </c>
      <c r="E26" s="4"/>
      <c r="F26" s="4"/>
      <c r="G26" s="4"/>
      <c r="H26" s="4"/>
      <c r="I26" s="4"/>
    </row>
  </sheetData>
  <autoFilter ref="A1:I2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4.4" x14ac:dyDescent="0.3"/>
  <cols>
    <col min="1" max="1" width="12" customWidth="1"/>
    <col min="2" max="2" width="16" customWidth="1"/>
    <col min="3" max="3" width="40" customWidth="1"/>
    <col min="4" max="4" width="18" customWidth="1"/>
    <col min="5" max="5" width="12" customWidth="1"/>
    <col min="6" max="6" width="35" customWidth="1"/>
    <col min="7" max="10" width="14" customWidth="1"/>
  </cols>
  <sheetData>
    <row r="1" spans="1:10" ht="26.4" x14ac:dyDescent="0.3">
      <c r="A1" s="3" t="s">
        <v>254</v>
      </c>
      <c r="B1" s="3" t="s">
        <v>255</v>
      </c>
      <c r="C1" s="3" t="s">
        <v>52</v>
      </c>
      <c r="D1" s="3" t="s">
        <v>53</v>
      </c>
      <c r="E1" s="3" t="s">
        <v>57</v>
      </c>
      <c r="F1" s="3" t="s">
        <v>256</v>
      </c>
      <c r="G1" s="3" t="s">
        <v>257</v>
      </c>
      <c r="H1" s="3" t="s">
        <v>258</v>
      </c>
      <c r="I1" s="3" t="s">
        <v>259</v>
      </c>
      <c r="J1" s="3" t="s">
        <v>260</v>
      </c>
    </row>
    <row r="2" spans="1:10" x14ac:dyDescent="0.3">
      <c r="A2" s="4" t="s">
        <v>261</v>
      </c>
      <c r="B2" s="4"/>
      <c r="C2" s="4"/>
      <c r="D2" s="4"/>
      <c r="E2" s="4"/>
      <c r="F2" s="4"/>
      <c r="G2" s="4"/>
      <c r="H2" s="4"/>
      <c r="I2" s="4" t="s">
        <v>262</v>
      </c>
      <c r="J2" s="4"/>
    </row>
    <row r="3" spans="1:10" x14ac:dyDescent="0.3">
      <c r="A3" s="5" t="s">
        <v>263</v>
      </c>
      <c r="B3" s="5"/>
      <c r="C3" s="5"/>
      <c r="D3" s="5"/>
      <c r="E3" s="5"/>
      <c r="F3" s="5"/>
      <c r="G3" s="5"/>
      <c r="H3" s="5"/>
      <c r="I3" s="5" t="s">
        <v>262</v>
      </c>
      <c r="J3" s="5"/>
    </row>
    <row r="4" spans="1:10" x14ac:dyDescent="0.3">
      <c r="A4" s="4" t="s">
        <v>264</v>
      </c>
      <c r="B4" s="4"/>
      <c r="C4" s="4"/>
      <c r="D4" s="4"/>
      <c r="E4" s="4"/>
      <c r="F4" s="4"/>
      <c r="G4" s="4"/>
      <c r="H4" s="4"/>
      <c r="I4" s="4" t="s">
        <v>262</v>
      </c>
      <c r="J4" s="4"/>
    </row>
    <row r="5" spans="1:10" x14ac:dyDescent="0.3">
      <c r="A5" s="5" t="s">
        <v>265</v>
      </c>
      <c r="B5" s="5"/>
      <c r="C5" s="5"/>
      <c r="D5" s="5"/>
      <c r="E5" s="5"/>
      <c r="F5" s="5"/>
      <c r="G5" s="5"/>
      <c r="H5" s="5"/>
      <c r="I5" s="5" t="s">
        <v>262</v>
      </c>
      <c r="J5" s="5"/>
    </row>
    <row r="6" spans="1:10" x14ac:dyDescent="0.3">
      <c r="A6" s="4" t="s">
        <v>266</v>
      </c>
      <c r="B6" s="4"/>
      <c r="C6" s="4"/>
      <c r="D6" s="4"/>
      <c r="E6" s="4"/>
      <c r="F6" s="4"/>
      <c r="G6" s="4"/>
      <c r="H6" s="4"/>
      <c r="I6" s="4" t="s">
        <v>262</v>
      </c>
      <c r="J6" s="4"/>
    </row>
    <row r="7" spans="1:10" x14ac:dyDescent="0.3">
      <c r="A7" s="5" t="s">
        <v>267</v>
      </c>
      <c r="B7" s="5"/>
      <c r="C7" s="5"/>
      <c r="D7" s="5"/>
      <c r="E7" s="5"/>
      <c r="F7" s="5"/>
      <c r="G7" s="5"/>
      <c r="H7" s="5"/>
      <c r="I7" s="5" t="s">
        <v>262</v>
      </c>
      <c r="J7" s="5"/>
    </row>
    <row r="8" spans="1:10" x14ac:dyDescent="0.3">
      <c r="A8" s="4" t="s">
        <v>268</v>
      </c>
      <c r="B8" s="4"/>
      <c r="C8" s="4"/>
      <c r="D8" s="4"/>
      <c r="E8" s="4"/>
      <c r="F8" s="4"/>
      <c r="G8" s="4"/>
      <c r="H8" s="4"/>
      <c r="I8" s="4" t="s">
        <v>262</v>
      </c>
      <c r="J8" s="4"/>
    </row>
    <row r="9" spans="1:10" x14ac:dyDescent="0.3">
      <c r="A9" s="5" t="s">
        <v>269</v>
      </c>
      <c r="B9" s="5"/>
      <c r="C9" s="5"/>
      <c r="D9" s="5"/>
      <c r="E9" s="5"/>
      <c r="F9" s="5"/>
      <c r="G9" s="5"/>
      <c r="H9" s="5"/>
      <c r="I9" s="5" t="s">
        <v>262</v>
      </c>
      <c r="J9" s="5"/>
    </row>
    <row r="10" spans="1:10" x14ac:dyDescent="0.3">
      <c r="A10" s="4" t="s">
        <v>270</v>
      </c>
      <c r="B10" s="4"/>
      <c r="C10" s="4"/>
      <c r="D10" s="4"/>
      <c r="E10" s="4"/>
      <c r="F10" s="4"/>
      <c r="G10" s="4"/>
      <c r="H10" s="4"/>
      <c r="I10" s="4" t="s">
        <v>262</v>
      </c>
      <c r="J10" s="4"/>
    </row>
    <row r="11" spans="1:10" x14ac:dyDescent="0.3">
      <c r="A11" s="5" t="s">
        <v>271</v>
      </c>
      <c r="B11" s="5"/>
      <c r="C11" s="5"/>
      <c r="D11" s="5"/>
      <c r="E11" s="5"/>
      <c r="F11" s="5"/>
      <c r="G11" s="5"/>
      <c r="H11" s="5"/>
      <c r="I11" s="5" t="s">
        <v>262</v>
      </c>
      <c r="J11" s="5"/>
    </row>
    <row r="12" spans="1:10" x14ac:dyDescent="0.3">
      <c r="A12" s="4" t="s">
        <v>272</v>
      </c>
      <c r="B12" s="4"/>
      <c r="C12" s="4"/>
      <c r="D12" s="4"/>
      <c r="E12" s="4"/>
      <c r="F12" s="4"/>
      <c r="G12" s="4"/>
      <c r="H12" s="4"/>
      <c r="I12" s="4" t="s">
        <v>262</v>
      </c>
      <c r="J12" s="4"/>
    </row>
    <row r="13" spans="1:10" x14ac:dyDescent="0.3">
      <c r="A13" s="5" t="s">
        <v>273</v>
      </c>
      <c r="B13" s="5"/>
      <c r="C13" s="5"/>
      <c r="D13" s="5"/>
      <c r="E13" s="5"/>
      <c r="F13" s="5"/>
      <c r="G13" s="5"/>
      <c r="H13" s="5"/>
      <c r="I13" s="5" t="s">
        <v>262</v>
      </c>
      <c r="J13" s="5"/>
    </row>
    <row r="14" spans="1:10" x14ac:dyDescent="0.3">
      <c r="A14" s="4" t="s">
        <v>274</v>
      </c>
      <c r="B14" s="4"/>
      <c r="C14" s="4"/>
      <c r="D14" s="4"/>
      <c r="E14" s="4"/>
      <c r="F14" s="4"/>
      <c r="G14" s="4"/>
      <c r="H14" s="4"/>
      <c r="I14" s="4" t="s">
        <v>262</v>
      </c>
      <c r="J14" s="4"/>
    </row>
    <row r="15" spans="1:10" x14ac:dyDescent="0.3">
      <c r="A15" s="5" t="s">
        <v>275</v>
      </c>
      <c r="B15" s="5"/>
      <c r="C15" s="5"/>
      <c r="D15" s="5"/>
      <c r="E15" s="5"/>
      <c r="F15" s="5"/>
      <c r="G15" s="5"/>
      <c r="H15" s="5"/>
      <c r="I15" s="5" t="s">
        <v>262</v>
      </c>
      <c r="J15" s="5"/>
    </row>
    <row r="16" spans="1:10" x14ac:dyDescent="0.3">
      <c r="A16" s="4" t="s">
        <v>276</v>
      </c>
      <c r="B16" s="4"/>
      <c r="C16" s="4"/>
      <c r="D16" s="4"/>
      <c r="E16" s="4"/>
      <c r="F16" s="4"/>
      <c r="G16" s="4"/>
      <c r="H16" s="4"/>
      <c r="I16" s="4" t="s">
        <v>262</v>
      </c>
      <c r="J16" s="4"/>
    </row>
    <row r="17" spans="1:10" x14ac:dyDescent="0.3">
      <c r="A17" s="5" t="s">
        <v>277</v>
      </c>
      <c r="B17" s="5"/>
      <c r="C17" s="5"/>
      <c r="D17" s="5"/>
      <c r="E17" s="5"/>
      <c r="F17" s="5"/>
      <c r="G17" s="5"/>
      <c r="H17" s="5"/>
      <c r="I17" s="5" t="s">
        <v>262</v>
      </c>
      <c r="J17" s="5"/>
    </row>
    <row r="18" spans="1:10" x14ac:dyDescent="0.3">
      <c r="A18" s="4" t="s">
        <v>278</v>
      </c>
      <c r="B18" s="4"/>
      <c r="C18" s="4"/>
      <c r="D18" s="4"/>
      <c r="E18" s="4"/>
      <c r="F18" s="4"/>
      <c r="G18" s="4"/>
      <c r="H18" s="4"/>
      <c r="I18" s="4" t="s">
        <v>262</v>
      </c>
      <c r="J18" s="4"/>
    </row>
    <row r="19" spans="1:10" x14ac:dyDescent="0.3">
      <c r="A19" s="5" t="s">
        <v>279</v>
      </c>
      <c r="B19" s="5"/>
      <c r="C19" s="5"/>
      <c r="D19" s="5"/>
      <c r="E19" s="5"/>
      <c r="F19" s="5"/>
      <c r="G19" s="5"/>
      <c r="H19" s="5"/>
      <c r="I19" s="5" t="s">
        <v>262</v>
      </c>
      <c r="J19" s="5"/>
    </row>
    <row r="20" spans="1:10" x14ac:dyDescent="0.3">
      <c r="A20" s="4" t="s">
        <v>280</v>
      </c>
      <c r="B20" s="4"/>
      <c r="C20" s="4"/>
      <c r="D20" s="4"/>
      <c r="E20" s="4"/>
      <c r="F20" s="4"/>
      <c r="G20" s="4"/>
      <c r="H20" s="4"/>
      <c r="I20" s="4" t="s">
        <v>262</v>
      </c>
      <c r="J20" s="4"/>
    </row>
    <row r="21" spans="1:10" x14ac:dyDescent="0.3">
      <c r="A21" s="5" t="s">
        <v>281</v>
      </c>
      <c r="B21" s="5"/>
      <c r="C21" s="5"/>
      <c r="D21" s="5"/>
      <c r="E21" s="5"/>
      <c r="F21" s="5"/>
      <c r="G21" s="5"/>
      <c r="H21" s="5"/>
      <c r="I21" s="5" t="s">
        <v>262</v>
      </c>
      <c r="J21" s="5"/>
    </row>
  </sheetData>
  <autoFilter ref="A1:J2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4.4" x14ac:dyDescent="0.3"/>
  <cols>
    <col min="1" max="1" width="10" customWidth="1"/>
    <col min="2" max="2" width="40" customWidth="1"/>
    <col min="3" max="3" width="18" customWidth="1"/>
    <col min="4" max="5" width="14" customWidth="1"/>
    <col min="6" max="6" width="20" customWidth="1"/>
    <col min="7" max="7" width="12" customWidth="1"/>
    <col min="8" max="8" width="14" customWidth="1"/>
  </cols>
  <sheetData>
    <row r="1" spans="1:8" ht="26.4" x14ac:dyDescent="0.3">
      <c r="A1" s="3" t="s">
        <v>282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</row>
    <row r="2" spans="1:8" x14ac:dyDescent="0.3">
      <c r="A2" s="4" t="s">
        <v>290</v>
      </c>
      <c r="B2" s="4"/>
      <c r="C2" s="4"/>
      <c r="D2" s="4"/>
      <c r="E2" s="4"/>
      <c r="F2" s="4"/>
      <c r="G2" s="4"/>
      <c r="H2" s="4" t="s">
        <v>291</v>
      </c>
    </row>
    <row r="3" spans="1:8" x14ac:dyDescent="0.3">
      <c r="A3" s="5" t="s">
        <v>292</v>
      </c>
      <c r="B3" s="5"/>
      <c r="C3" s="5"/>
      <c r="D3" s="5"/>
      <c r="E3" s="5"/>
      <c r="F3" s="5"/>
      <c r="G3" s="5"/>
      <c r="H3" s="5" t="s">
        <v>291</v>
      </c>
    </row>
    <row r="4" spans="1:8" x14ac:dyDescent="0.3">
      <c r="A4" s="4" t="s">
        <v>293</v>
      </c>
      <c r="B4" s="4"/>
      <c r="C4" s="4"/>
      <c r="D4" s="4"/>
      <c r="E4" s="4"/>
      <c r="F4" s="4"/>
      <c r="G4" s="4"/>
      <c r="H4" s="4" t="s">
        <v>291</v>
      </c>
    </row>
    <row r="5" spans="1:8" x14ac:dyDescent="0.3">
      <c r="A5" s="5" t="s">
        <v>294</v>
      </c>
      <c r="B5" s="5"/>
      <c r="C5" s="5"/>
      <c r="D5" s="5"/>
      <c r="E5" s="5"/>
      <c r="F5" s="5"/>
      <c r="G5" s="5"/>
      <c r="H5" s="5" t="s">
        <v>291</v>
      </c>
    </row>
    <row r="6" spans="1:8" x14ac:dyDescent="0.3">
      <c r="A6" s="4" t="s">
        <v>295</v>
      </c>
      <c r="B6" s="4"/>
      <c r="C6" s="4"/>
      <c r="D6" s="4"/>
      <c r="E6" s="4"/>
      <c r="F6" s="4"/>
      <c r="G6" s="4"/>
      <c r="H6" s="4" t="s">
        <v>291</v>
      </c>
    </row>
    <row r="7" spans="1:8" x14ac:dyDescent="0.3">
      <c r="A7" s="5" t="s">
        <v>296</v>
      </c>
      <c r="B7" s="5"/>
      <c r="C7" s="5"/>
      <c r="D7" s="5"/>
      <c r="E7" s="5"/>
      <c r="F7" s="5"/>
      <c r="G7" s="5"/>
      <c r="H7" s="5" t="s">
        <v>291</v>
      </c>
    </row>
    <row r="8" spans="1:8" x14ac:dyDescent="0.3">
      <c r="A8" s="4" t="s">
        <v>297</v>
      </c>
      <c r="B8" s="4"/>
      <c r="C8" s="4"/>
      <c r="D8" s="4"/>
      <c r="E8" s="4"/>
      <c r="F8" s="4"/>
      <c r="G8" s="4"/>
      <c r="H8" s="4" t="s">
        <v>291</v>
      </c>
    </row>
    <row r="9" spans="1:8" x14ac:dyDescent="0.3">
      <c r="A9" s="5" t="s">
        <v>298</v>
      </c>
      <c r="B9" s="5"/>
      <c r="C9" s="5"/>
      <c r="D9" s="5"/>
      <c r="E9" s="5"/>
      <c r="F9" s="5"/>
      <c r="G9" s="5"/>
      <c r="H9" s="5" t="s">
        <v>291</v>
      </c>
    </row>
    <row r="10" spans="1:8" x14ac:dyDescent="0.3">
      <c r="A10" s="4" t="s">
        <v>299</v>
      </c>
      <c r="B10" s="4"/>
      <c r="C10" s="4"/>
      <c r="D10" s="4"/>
      <c r="E10" s="4"/>
      <c r="F10" s="4"/>
      <c r="G10" s="4"/>
      <c r="H10" s="4" t="s">
        <v>291</v>
      </c>
    </row>
    <row r="11" spans="1:8" x14ac:dyDescent="0.3">
      <c r="A11" s="5" t="s">
        <v>300</v>
      </c>
      <c r="B11" s="5"/>
      <c r="C11" s="5"/>
      <c r="D11" s="5"/>
      <c r="E11" s="5"/>
      <c r="F11" s="5"/>
      <c r="G11" s="5"/>
      <c r="H11" s="5" t="s">
        <v>291</v>
      </c>
    </row>
    <row r="12" spans="1:8" x14ac:dyDescent="0.3">
      <c r="A12" s="4" t="s">
        <v>301</v>
      </c>
      <c r="B12" s="4"/>
      <c r="C12" s="4"/>
      <c r="D12" s="4"/>
      <c r="E12" s="4"/>
      <c r="F12" s="4"/>
      <c r="G12" s="4"/>
      <c r="H12" s="4" t="s">
        <v>291</v>
      </c>
    </row>
    <row r="13" spans="1:8" x14ac:dyDescent="0.3">
      <c r="A13" s="5" t="s">
        <v>302</v>
      </c>
      <c r="B13" s="5"/>
      <c r="C13" s="5"/>
      <c r="D13" s="5"/>
      <c r="E13" s="5"/>
      <c r="F13" s="5"/>
      <c r="G13" s="5"/>
      <c r="H13" s="5" t="s">
        <v>291</v>
      </c>
    </row>
    <row r="14" spans="1:8" x14ac:dyDescent="0.3">
      <c r="A14" s="4" t="s">
        <v>303</v>
      </c>
      <c r="B14" s="4"/>
      <c r="C14" s="4"/>
      <c r="D14" s="4"/>
      <c r="E14" s="4"/>
      <c r="F14" s="4"/>
      <c r="G14" s="4"/>
      <c r="H14" s="4" t="s">
        <v>291</v>
      </c>
    </row>
    <row r="15" spans="1:8" x14ac:dyDescent="0.3">
      <c r="A15" s="5" t="s">
        <v>304</v>
      </c>
      <c r="B15" s="5"/>
      <c r="C15" s="5"/>
      <c r="D15" s="5"/>
      <c r="E15" s="5"/>
      <c r="F15" s="5"/>
      <c r="G15" s="5"/>
      <c r="H15" s="5" t="s">
        <v>291</v>
      </c>
    </row>
    <row r="16" spans="1:8" x14ac:dyDescent="0.3">
      <c r="A16" s="4" t="s">
        <v>305</v>
      </c>
      <c r="B16" s="4"/>
      <c r="C16" s="4"/>
      <c r="D16" s="4"/>
      <c r="E16" s="4"/>
      <c r="F16" s="4"/>
      <c r="G16" s="4"/>
      <c r="H16" s="4" t="s">
        <v>291</v>
      </c>
    </row>
    <row r="17" spans="1:8" x14ac:dyDescent="0.3">
      <c r="A17" s="5" t="s">
        <v>306</v>
      </c>
      <c r="B17" s="5"/>
      <c r="C17" s="5"/>
      <c r="D17" s="5"/>
      <c r="E17" s="5"/>
      <c r="F17" s="5"/>
      <c r="G17" s="5"/>
      <c r="H17" s="5" t="s">
        <v>291</v>
      </c>
    </row>
    <row r="18" spans="1:8" x14ac:dyDescent="0.3">
      <c r="A18" s="4" t="s">
        <v>307</v>
      </c>
      <c r="B18" s="4"/>
      <c r="C18" s="4"/>
      <c r="D18" s="4"/>
      <c r="E18" s="4"/>
      <c r="F18" s="4"/>
      <c r="G18" s="4"/>
      <c r="H18" s="4" t="s">
        <v>291</v>
      </c>
    </row>
    <row r="19" spans="1:8" x14ac:dyDescent="0.3">
      <c r="A19" s="5" t="s">
        <v>308</v>
      </c>
      <c r="B19" s="5"/>
      <c r="C19" s="5"/>
      <c r="D19" s="5"/>
      <c r="E19" s="5"/>
      <c r="F19" s="5"/>
      <c r="G19" s="5"/>
      <c r="H19" s="5" t="s">
        <v>291</v>
      </c>
    </row>
    <row r="20" spans="1:8" x14ac:dyDescent="0.3">
      <c r="A20" s="4" t="s">
        <v>309</v>
      </c>
      <c r="B20" s="4"/>
      <c r="C20" s="4"/>
      <c r="D20" s="4"/>
      <c r="E20" s="4"/>
      <c r="F20" s="4"/>
      <c r="G20" s="4"/>
      <c r="H20" s="4" t="s">
        <v>291</v>
      </c>
    </row>
    <row r="21" spans="1:8" x14ac:dyDescent="0.3">
      <c r="A21" s="5" t="s">
        <v>310</v>
      </c>
      <c r="B21" s="5"/>
      <c r="C21" s="5"/>
      <c r="D21" s="5"/>
      <c r="E21" s="5"/>
      <c r="F21" s="5"/>
      <c r="G21" s="5"/>
      <c r="H21" s="5" t="s">
        <v>291</v>
      </c>
    </row>
    <row r="22" spans="1:8" x14ac:dyDescent="0.3">
      <c r="A22" s="4" t="s">
        <v>311</v>
      </c>
      <c r="B22" s="4"/>
      <c r="C22" s="4"/>
      <c r="D22" s="4"/>
      <c r="E22" s="4"/>
      <c r="F22" s="4"/>
      <c r="G22" s="4"/>
      <c r="H22" s="4" t="s">
        <v>291</v>
      </c>
    </row>
    <row r="23" spans="1:8" x14ac:dyDescent="0.3">
      <c r="A23" s="5" t="s">
        <v>312</v>
      </c>
      <c r="B23" s="5"/>
      <c r="C23" s="5"/>
      <c r="D23" s="5"/>
      <c r="E23" s="5"/>
      <c r="F23" s="5"/>
      <c r="G23" s="5"/>
      <c r="H23" s="5" t="s">
        <v>291</v>
      </c>
    </row>
    <row r="24" spans="1:8" x14ac:dyDescent="0.3">
      <c r="A24" s="4" t="s">
        <v>313</v>
      </c>
      <c r="B24" s="4"/>
      <c r="C24" s="4"/>
      <c r="D24" s="4"/>
      <c r="E24" s="4"/>
      <c r="F24" s="4"/>
      <c r="G24" s="4"/>
      <c r="H24" s="4" t="s">
        <v>291</v>
      </c>
    </row>
    <row r="25" spans="1:8" x14ac:dyDescent="0.3">
      <c r="A25" s="5" t="s">
        <v>314</v>
      </c>
      <c r="B25" s="5"/>
      <c r="C25" s="5"/>
      <c r="D25" s="5"/>
      <c r="E25" s="5"/>
      <c r="F25" s="5"/>
      <c r="G25" s="5"/>
      <c r="H25" s="5" t="s">
        <v>291</v>
      </c>
    </row>
    <row r="26" spans="1:8" x14ac:dyDescent="0.3">
      <c r="A26" s="4" t="s">
        <v>315</v>
      </c>
      <c r="B26" s="4"/>
      <c r="C26" s="4"/>
      <c r="D26" s="4"/>
      <c r="E26" s="4"/>
      <c r="F26" s="4"/>
      <c r="G26" s="4"/>
      <c r="H26" s="4" t="s">
        <v>291</v>
      </c>
    </row>
  </sheetData>
  <autoFilter ref="A1:H2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8.6640625" defaultRowHeight="14.4" x14ac:dyDescent="0.3"/>
  <cols>
    <col min="1" max="1" width="10" customWidth="1"/>
    <col min="2" max="2" width="35" customWidth="1"/>
    <col min="3" max="3" width="18" customWidth="1"/>
    <col min="4" max="4" width="16" customWidth="1"/>
    <col min="5" max="5" width="14" customWidth="1"/>
    <col min="6" max="6" width="12" customWidth="1"/>
    <col min="7" max="7" width="30" customWidth="1"/>
    <col min="8" max="8" width="14" customWidth="1"/>
    <col min="9" max="9" width="25" customWidth="1"/>
  </cols>
  <sheetData>
    <row r="1" spans="1:9" x14ac:dyDescent="0.3">
      <c r="A1" s="3" t="s">
        <v>316</v>
      </c>
      <c r="B1" s="3" t="s">
        <v>317</v>
      </c>
      <c r="C1" s="3" t="s">
        <v>101</v>
      </c>
      <c r="D1" s="3" t="s">
        <v>318</v>
      </c>
      <c r="E1" s="3" t="s">
        <v>319</v>
      </c>
      <c r="F1" s="3" t="s">
        <v>320</v>
      </c>
      <c r="G1" s="3" t="s">
        <v>321</v>
      </c>
      <c r="H1" s="3" t="s">
        <v>322</v>
      </c>
      <c r="I1" s="3" t="s">
        <v>256</v>
      </c>
    </row>
    <row r="2" spans="1:9" x14ac:dyDescent="0.3">
      <c r="A2" s="4" t="s">
        <v>323</v>
      </c>
      <c r="B2" s="4"/>
      <c r="C2" s="4"/>
      <c r="D2" s="4"/>
      <c r="E2" s="4"/>
      <c r="F2" s="4" t="s">
        <v>291</v>
      </c>
      <c r="G2" s="4"/>
      <c r="H2" s="4"/>
      <c r="I2" s="4"/>
    </row>
    <row r="3" spans="1:9" x14ac:dyDescent="0.3">
      <c r="A3" s="5" t="s">
        <v>324</v>
      </c>
      <c r="B3" s="5"/>
      <c r="C3" s="5"/>
      <c r="D3" s="5"/>
      <c r="E3" s="5"/>
      <c r="F3" s="5" t="s">
        <v>291</v>
      </c>
      <c r="G3" s="5"/>
      <c r="H3" s="5"/>
      <c r="I3" s="5"/>
    </row>
    <row r="4" spans="1:9" x14ac:dyDescent="0.3">
      <c r="A4" s="4" t="s">
        <v>325</v>
      </c>
      <c r="B4" s="4"/>
      <c r="C4" s="4"/>
      <c r="D4" s="4"/>
      <c r="E4" s="4"/>
      <c r="F4" s="4" t="s">
        <v>291</v>
      </c>
      <c r="G4" s="4"/>
      <c r="H4" s="4"/>
      <c r="I4" s="4"/>
    </row>
    <row r="5" spans="1:9" x14ac:dyDescent="0.3">
      <c r="A5" s="5" t="s">
        <v>326</v>
      </c>
      <c r="B5" s="5"/>
      <c r="C5" s="5"/>
      <c r="D5" s="5"/>
      <c r="E5" s="5"/>
      <c r="F5" s="5" t="s">
        <v>291</v>
      </c>
      <c r="G5" s="5"/>
      <c r="H5" s="5"/>
      <c r="I5" s="5"/>
    </row>
    <row r="6" spans="1:9" x14ac:dyDescent="0.3">
      <c r="A6" s="4" t="s">
        <v>327</v>
      </c>
      <c r="B6" s="4"/>
      <c r="C6" s="4"/>
      <c r="D6" s="4"/>
      <c r="E6" s="4"/>
      <c r="F6" s="4" t="s">
        <v>291</v>
      </c>
      <c r="G6" s="4"/>
      <c r="H6" s="4"/>
      <c r="I6" s="4"/>
    </row>
    <row r="7" spans="1:9" x14ac:dyDescent="0.3">
      <c r="A7" s="5" t="s">
        <v>328</v>
      </c>
      <c r="B7" s="5"/>
      <c r="C7" s="5"/>
      <c r="D7" s="5"/>
      <c r="E7" s="5"/>
      <c r="F7" s="5" t="s">
        <v>291</v>
      </c>
      <c r="G7" s="5"/>
      <c r="H7" s="5"/>
      <c r="I7" s="5"/>
    </row>
    <row r="8" spans="1:9" x14ac:dyDescent="0.3">
      <c r="A8" s="4" t="s">
        <v>329</v>
      </c>
      <c r="B8" s="4"/>
      <c r="C8" s="4"/>
      <c r="D8" s="4"/>
      <c r="E8" s="4"/>
      <c r="F8" s="4" t="s">
        <v>291</v>
      </c>
      <c r="G8" s="4"/>
      <c r="H8" s="4"/>
      <c r="I8" s="4"/>
    </row>
    <row r="9" spans="1:9" x14ac:dyDescent="0.3">
      <c r="A9" s="5" t="s">
        <v>330</v>
      </c>
      <c r="B9" s="5"/>
      <c r="C9" s="5"/>
      <c r="D9" s="5"/>
      <c r="E9" s="5"/>
      <c r="F9" s="5" t="s">
        <v>291</v>
      </c>
      <c r="G9" s="5"/>
      <c r="H9" s="5"/>
      <c r="I9" s="5"/>
    </row>
    <row r="10" spans="1:9" x14ac:dyDescent="0.3">
      <c r="A10" s="4" t="s">
        <v>331</v>
      </c>
      <c r="B10" s="4"/>
      <c r="C10" s="4"/>
      <c r="D10" s="4"/>
      <c r="E10" s="4"/>
      <c r="F10" s="4" t="s">
        <v>291</v>
      </c>
      <c r="G10" s="4"/>
      <c r="H10" s="4"/>
      <c r="I10" s="4"/>
    </row>
    <row r="11" spans="1:9" x14ac:dyDescent="0.3">
      <c r="A11" s="5" t="s">
        <v>332</v>
      </c>
      <c r="B11" s="5"/>
      <c r="C11" s="5"/>
      <c r="D11" s="5"/>
      <c r="E11" s="5"/>
      <c r="F11" s="5" t="s">
        <v>291</v>
      </c>
      <c r="G11" s="5"/>
      <c r="H11" s="5"/>
      <c r="I11" s="5"/>
    </row>
    <row r="12" spans="1:9" x14ac:dyDescent="0.3">
      <c r="A12" s="4" t="s">
        <v>333</v>
      </c>
      <c r="B12" s="4"/>
      <c r="C12" s="4"/>
      <c r="D12" s="4"/>
      <c r="E12" s="4"/>
      <c r="F12" s="4" t="s">
        <v>291</v>
      </c>
      <c r="G12" s="4"/>
      <c r="H12" s="4"/>
      <c r="I12" s="4"/>
    </row>
    <row r="13" spans="1:9" x14ac:dyDescent="0.3">
      <c r="A13" s="5" t="s">
        <v>334</v>
      </c>
      <c r="B13" s="5"/>
      <c r="C13" s="5"/>
      <c r="D13" s="5"/>
      <c r="E13" s="5"/>
      <c r="F13" s="5" t="s">
        <v>291</v>
      </c>
      <c r="G13" s="5"/>
      <c r="H13" s="5"/>
      <c r="I13" s="5"/>
    </row>
    <row r="14" spans="1:9" x14ac:dyDescent="0.3">
      <c r="A14" s="4" t="s">
        <v>335</v>
      </c>
      <c r="B14" s="4"/>
      <c r="C14" s="4"/>
      <c r="D14" s="4"/>
      <c r="E14" s="4"/>
      <c r="F14" s="4" t="s">
        <v>291</v>
      </c>
      <c r="G14" s="4"/>
      <c r="H14" s="4"/>
      <c r="I14" s="4"/>
    </row>
    <row r="15" spans="1:9" x14ac:dyDescent="0.3">
      <c r="A15" s="5" t="s">
        <v>336</v>
      </c>
      <c r="B15" s="5"/>
      <c r="C15" s="5"/>
      <c r="D15" s="5"/>
      <c r="E15" s="5"/>
      <c r="F15" s="5" t="s">
        <v>291</v>
      </c>
      <c r="G15" s="5"/>
      <c r="H15" s="5"/>
      <c r="I15" s="5"/>
    </row>
    <row r="16" spans="1:9" x14ac:dyDescent="0.3">
      <c r="A16" s="4" t="s">
        <v>337</v>
      </c>
      <c r="B16" s="4"/>
      <c r="C16" s="4"/>
      <c r="D16" s="4"/>
      <c r="E16" s="4"/>
      <c r="F16" s="4" t="s">
        <v>291</v>
      </c>
      <c r="G16" s="4"/>
      <c r="H16" s="4"/>
      <c r="I16" s="4"/>
    </row>
    <row r="17" spans="1:9" x14ac:dyDescent="0.3">
      <c r="A17" s="5" t="s">
        <v>338</v>
      </c>
      <c r="B17" s="5"/>
      <c r="C17" s="5"/>
      <c r="D17" s="5"/>
      <c r="E17" s="5"/>
      <c r="F17" s="5" t="s">
        <v>291</v>
      </c>
      <c r="G17" s="5"/>
      <c r="H17" s="5"/>
      <c r="I17" s="5"/>
    </row>
    <row r="18" spans="1:9" x14ac:dyDescent="0.3">
      <c r="A18" s="4" t="s">
        <v>339</v>
      </c>
      <c r="B18" s="4"/>
      <c r="C18" s="4"/>
      <c r="D18" s="4"/>
      <c r="E18" s="4"/>
      <c r="F18" s="4" t="s">
        <v>291</v>
      </c>
      <c r="G18" s="4"/>
      <c r="H18" s="4"/>
      <c r="I18" s="4"/>
    </row>
    <row r="19" spans="1:9" x14ac:dyDescent="0.3">
      <c r="A19" s="5" t="s">
        <v>340</v>
      </c>
      <c r="B19" s="5"/>
      <c r="C19" s="5"/>
      <c r="D19" s="5"/>
      <c r="E19" s="5"/>
      <c r="F19" s="5" t="s">
        <v>291</v>
      </c>
      <c r="G19" s="5"/>
      <c r="H19" s="5"/>
      <c r="I19" s="5"/>
    </row>
    <row r="20" spans="1:9" x14ac:dyDescent="0.3">
      <c r="A20" s="4" t="s">
        <v>341</v>
      </c>
      <c r="B20" s="4"/>
      <c r="C20" s="4"/>
      <c r="D20" s="4"/>
      <c r="E20" s="4"/>
      <c r="F20" s="4" t="s">
        <v>291</v>
      </c>
      <c r="G20" s="4"/>
      <c r="H20" s="4"/>
      <c r="I20" s="4"/>
    </row>
    <row r="21" spans="1:9" x14ac:dyDescent="0.3">
      <c r="A21" s="5" t="s">
        <v>342</v>
      </c>
      <c r="B21" s="5"/>
      <c r="C21" s="5"/>
      <c r="D21" s="5"/>
      <c r="E21" s="5"/>
      <c r="F21" s="5" t="s">
        <v>291</v>
      </c>
      <c r="G21" s="5"/>
      <c r="H21" s="5"/>
      <c r="I21" s="5"/>
    </row>
  </sheetData>
  <autoFilter ref="A1:I2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zoomScaleNormal="100" workbookViewId="0">
      <selection sqref="A1:F1"/>
    </sheetView>
  </sheetViews>
  <sheetFormatPr defaultColWidth="8.6640625" defaultRowHeight="14.4" x14ac:dyDescent="0.3"/>
  <cols>
    <col min="1" max="1" width="24" customWidth="1"/>
    <col min="2" max="6" width="16" customWidth="1"/>
  </cols>
  <sheetData>
    <row r="1" spans="1:6" ht="17.25" customHeight="1" x14ac:dyDescent="0.3">
      <c r="A1" s="2" t="s">
        <v>409</v>
      </c>
      <c r="B1" s="2"/>
      <c r="C1" s="2"/>
      <c r="D1" s="2"/>
      <c r="E1" s="2"/>
      <c r="F1" s="2"/>
    </row>
    <row r="3" spans="1:6" ht="23.25" customHeight="1" x14ac:dyDescent="0.3">
      <c r="A3" s="6" t="s">
        <v>410</v>
      </c>
      <c r="B3" s="6" t="s">
        <v>411</v>
      </c>
      <c r="C3" s="6" t="s">
        <v>412</v>
      </c>
      <c r="D3" s="6" t="s">
        <v>413</v>
      </c>
      <c r="E3" s="6" t="s">
        <v>414</v>
      </c>
      <c r="F3" s="6" t="s">
        <v>415</v>
      </c>
    </row>
    <row r="4" spans="1:6" ht="15" customHeight="1" x14ac:dyDescent="0.3">
      <c r="A4" s="7" t="s">
        <v>416</v>
      </c>
      <c r="B4" s="8" t="s">
        <v>93</v>
      </c>
      <c r="C4" s="9" t="s">
        <v>65</v>
      </c>
      <c r="D4" s="10" t="s">
        <v>417</v>
      </c>
      <c r="E4" s="10" t="s">
        <v>417</v>
      </c>
      <c r="F4" s="10" t="s">
        <v>417</v>
      </c>
    </row>
    <row r="5" spans="1:6" ht="15" customHeight="1" x14ac:dyDescent="0.3">
      <c r="A5" s="7" t="s">
        <v>418</v>
      </c>
      <c r="B5" s="11" t="s">
        <v>419</v>
      </c>
      <c r="C5" s="8" t="s">
        <v>93</v>
      </c>
      <c r="D5" s="9" t="s">
        <v>65</v>
      </c>
      <c r="E5" s="10" t="s">
        <v>417</v>
      </c>
      <c r="F5" s="10" t="s">
        <v>417</v>
      </c>
    </row>
    <row r="6" spans="1:6" ht="15" customHeight="1" x14ac:dyDescent="0.3">
      <c r="A6" s="7" t="s">
        <v>420</v>
      </c>
      <c r="B6" s="11" t="s">
        <v>419</v>
      </c>
      <c r="C6" s="8" t="s">
        <v>93</v>
      </c>
      <c r="D6" s="8" t="s">
        <v>93</v>
      </c>
      <c r="E6" s="9" t="s">
        <v>65</v>
      </c>
      <c r="F6" s="10" t="s">
        <v>417</v>
      </c>
    </row>
    <row r="7" spans="1:6" ht="15" customHeight="1" x14ac:dyDescent="0.3">
      <c r="A7" s="7" t="s">
        <v>421</v>
      </c>
      <c r="B7" s="11" t="s">
        <v>419</v>
      </c>
      <c r="C7" s="11" t="s">
        <v>419</v>
      </c>
      <c r="D7" s="8" t="s">
        <v>93</v>
      </c>
      <c r="E7" s="8" t="s">
        <v>93</v>
      </c>
      <c r="F7" s="9" t="s">
        <v>65</v>
      </c>
    </row>
    <row r="8" spans="1:6" ht="15" customHeight="1" x14ac:dyDescent="0.3">
      <c r="A8" s="7" t="s">
        <v>422</v>
      </c>
      <c r="B8" s="11" t="s">
        <v>419</v>
      </c>
      <c r="C8" s="11" t="s">
        <v>419</v>
      </c>
      <c r="D8" s="11" t="s">
        <v>419</v>
      </c>
      <c r="E8" s="8" t="s">
        <v>93</v>
      </c>
      <c r="F8" s="8" t="s">
        <v>93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3" width="16" customWidth="1"/>
    <col min="4" max="4" width="28" customWidth="1"/>
    <col min="5" max="5" width="24" customWidth="1"/>
    <col min="6" max="6" width="30" customWidth="1"/>
    <col min="7" max="7" width="10" customWidth="1"/>
  </cols>
  <sheetData>
    <row r="1" spans="1:7" ht="23.25" customHeight="1" x14ac:dyDescent="0.3">
      <c r="A1" s="3" t="s">
        <v>423</v>
      </c>
      <c r="B1" s="3" t="s">
        <v>424</v>
      </c>
      <c r="C1" s="3" t="s">
        <v>425</v>
      </c>
      <c r="D1" s="3" t="s">
        <v>426</v>
      </c>
      <c r="E1" s="3" t="s">
        <v>427</v>
      </c>
      <c r="F1" s="3" t="s">
        <v>428</v>
      </c>
      <c r="G1" s="3" t="s">
        <v>259</v>
      </c>
    </row>
    <row r="2" spans="1:7" ht="15" customHeight="1" x14ac:dyDescent="0.3">
      <c r="A2" s="4" t="s">
        <v>429</v>
      </c>
      <c r="B2" s="4" t="s">
        <v>430</v>
      </c>
      <c r="C2" s="4" t="s">
        <v>431</v>
      </c>
      <c r="D2" s="4" t="s">
        <v>432</v>
      </c>
      <c r="E2" s="4" t="s">
        <v>433</v>
      </c>
      <c r="F2" s="4"/>
      <c r="G2" s="4" t="s">
        <v>262</v>
      </c>
    </row>
    <row r="3" spans="1:7" ht="15" customHeight="1" x14ac:dyDescent="0.3">
      <c r="A3" s="5" t="s">
        <v>434</v>
      </c>
      <c r="B3" s="5" t="s">
        <v>20</v>
      </c>
      <c r="C3" s="5" t="s">
        <v>435</v>
      </c>
      <c r="D3" s="5" t="s">
        <v>436</v>
      </c>
      <c r="E3" s="5" t="s">
        <v>437</v>
      </c>
      <c r="F3" s="5"/>
      <c r="G3" s="5" t="s">
        <v>262</v>
      </c>
    </row>
    <row r="4" spans="1:7" ht="15" customHeight="1" x14ac:dyDescent="0.3">
      <c r="A4" s="4" t="s">
        <v>438</v>
      </c>
      <c r="B4" s="4" t="s">
        <v>439</v>
      </c>
      <c r="C4" s="4" t="s">
        <v>440</v>
      </c>
      <c r="D4" s="4" t="s">
        <v>441</v>
      </c>
      <c r="E4" s="4" t="s">
        <v>442</v>
      </c>
      <c r="F4" s="4"/>
      <c r="G4" s="4" t="s">
        <v>262</v>
      </c>
    </row>
    <row r="5" spans="1:7" ht="15" customHeight="1" x14ac:dyDescent="0.3">
      <c r="A5" s="5" t="s">
        <v>443</v>
      </c>
      <c r="B5" s="5" t="s">
        <v>444</v>
      </c>
      <c r="C5" s="5" t="s">
        <v>445</v>
      </c>
      <c r="D5" s="5" t="s">
        <v>446</v>
      </c>
      <c r="E5" s="5" t="s">
        <v>447</v>
      </c>
      <c r="F5" s="5"/>
      <c r="G5" s="5" t="s">
        <v>262</v>
      </c>
    </row>
    <row r="6" spans="1:7" ht="15" customHeight="1" x14ac:dyDescent="0.3">
      <c r="A6" s="4" t="s">
        <v>448</v>
      </c>
      <c r="B6" s="4" t="s">
        <v>449</v>
      </c>
      <c r="C6" s="4" t="s">
        <v>435</v>
      </c>
      <c r="D6" s="4" t="s">
        <v>450</v>
      </c>
      <c r="E6" s="4" t="s">
        <v>451</v>
      </c>
      <c r="F6" s="4"/>
      <c r="G6" s="4" t="s">
        <v>262</v>
      </c>
    </row>
    <row r="7" spans="1:7" ht="15" customHeight="1" x14ac:dyDescent="0.3">
      <c r="A7" s="5" t="s">
        <v>452</v>
      </c>
      <c r="B7" s="5" t="s">
        <v>453</v>
      </c>
      <c r="C7" s="5" t="s">
        <v>445</v>
      </c>
      <c r="D7" s="5" t="s">
        <v>454</v>
      </c>
      <c r="E7" s="5" t="s">
        <v>455</v>
      </c>
      <c r="F7" s="5"/>
      <c r="G7" s="5" t="s">
        <v>262</v>
      </c>
    </row>
    <row r="8" spans="1:7" ht="15" customHeight="1" x14ac:dyDescent="0.3">
      <c r="A8" s="4" t="s">
        <v>456</v>
      </c>
      <c r="B8" s="4" t="s">
        <v>457</v>
      </c>
      <c r="C8" s="4" t="s">
        <v>431</v>
      </c>
      <c r="D8" s="4" t="s">
        <v>458</v>
      </c>
      <c r="E8" s="4" t="s">
        <v>459</v>
      </c>
      <c r="F8" s="4"/>
      <c r="G8" s="4" t="s">
        <v>262</v>
      </c>
    </row>
    <row r="9" spans="1:7" ht="15" customHeight="1" x14ac:dyDescent="0.3">
      <c r="A9" s="5" t="s">
        <v>460</v>
      </c>
      <c r="B9" s="5" t="s">
        <v>461</v>
      </c>
      <c r="C9" s="5" t="s">
        <v>440</v>
      </c>
      <c r="D9" s="5" t="s">
        <v>462</v>
      </c>
      <c r="E9" s="5" t="s">
        <v>463</v>
      </c>
      <c r="F9" s="5"/>
      <c r="G9" s="5" t="s">
        <v>262</v>
      </c>
    </row>
  </sheetData>
  <autoFilter ref="A1:G9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4" width="22" customWidth="1"/>
    <col min="5" max="5" width="16" customWidth="1"/>
    <col min="6" max="6" width="14" customWidth="1"/>
    <col min="7" max="7" width="18" customWidth="1"/>
  </cols>
  <sheetData>
    <row r="1" spans="1:7" ht="23.25" customHeight="1" x14ac:dyDescent="0.3">
      <c r="A1" s="3" t="s">
        <v>464</v>
      </c>
      <c r="B1" s="3" t="s">
        <v>465</v>
      </c>
      <c r="C1" s="3" t="s">
        <v>466</v>
      </c>
      <c r="D1" s="3" t="s">
        <v>467</v>
      </c>
      <c r="E1" s="3" t="s">
        <v>468</v>
      </c>
      <c r="F1" s="3" t="s">
        <v>469</v>
      </c>
      <c r="G1" s="3" t="s">
        <v>470</v>
      </c>
    </row>
    <row r="2" spans="1:7" ht="15" customHeight="1" x14ac:dyDescent="0.3">
      <c r="A2" s="4" t="s">
        <v>471</v>
      </c>
      <c r="B2" s="4" t="s">
        <v>472</v>
      </c>
      <c r="C2" s="4" t="s">
        <v>473</v>
      </c>
      <c r="D2" s="4" t="s">
        <v>474</v>
      </c>
      <c r="E2" s="4" t="s">
        <v>475</v>
      </c>
      <c r="F2" s="4" t="s">
        <v>476</v>
      </c>
      <c r="G2" s="4" t="s">
        <v>477</v>
      </c>
    </row>
    <row r="3" spans="1:7" ht="15" customHeight="1" x14ac:dyDescent="0.3">
      <c r="A3" s="5" t="s">
        <v>478</v>
      </c>
      <c r="B3" s="5" t="s">
        <v>479</v>
      </c>
      <c r="C3" s="5" t="s">
        <v>480</v>
      </c>
      <c r="D3" s="5" t="s">
        <v>481</v>
      </c>
      <c r="E3" s="5" t="s">
        <v>482</v>
      </c>
      <c r="F3" s="5" t="s">
        <v>476</v>
      </c>
      <c r="G3" s="5" t="s">
        <v>483</v>
      </c>
    </row>
    <row r="4" spans="1:7" ht="15" customHeight="1" x14ac:dyDescent="0.3">
      <c r="A4" s="4" t="s">
        <v>484</v>
      </c>
      <c r="B4" s="4" t="s">
        <v>485</v>
      </c>
      <c r="C4" s="4" t="s">
        <v>486</v>
      </c>
      <c r="D4" s="4" t="s">
        <v>487</v>
      </c>
      <c r="E4" s="4" t="s">
        <v>488</v>
      </c>
      <c r="F4" s="4" t="s">
        <v>489</v>
      </c>
      <c r="G4" s="4" t="s">
        <v>490</v>
      </c>
    </row>
    <row r="5" spans="1:7" ht="15" customHeight="1" x14ac:dyDescent="0.3">
      <c r="A5" s="5" t="s">
        <v>491</v>
      </c>
      <c r="B5" s="5" t="s">
        <v>492</v>
      </c>
      <c r="C5" s="5" t="s">
        <v>493</v>
      </c>
      <c r="D5" s="5" t="s">
        <v>494</v>
      </c>
      <c r="E5" s="5" t="s">
        <v>495</v>
      </c>
      <c r="F5" s="5" t="s">
        <v>496</v>
      </c>
      <c r="G5" s="5" t="s">
        <v>497</v>
      </c>
    </row>
    <row r="6" spans="1:7" ht="15" customHeight="1" x14ac:dyDescent="0.3">
      <c r="A6" s="4" t="s">
        <v>498</v>
      </c>
      <c r="B6" s="4" t="s">
        <v>499</v>
      </c>
      <c r="C6" s="4" t="s">
        <v>500</v>
      </c>
      <c r="D6" s="4" t="s">
        <v>501</v>
      </c>
      <c r="E6" s="4" t="s">
        <v>502</v>
      </c>
      <c r="F6" s="4" t="s">
        <v>503</v>
      </c>
      <c r="G6" s="4" t="s">
        <v>497</v>
      </c>
    </row>
    <row r="7" spans="1:7" ht="15" customHeight="1" x14ac:dyDescent="0.3">
      <c r="A7" s="5" t="s">
        <v>504</v>
      </c>
      <c r="B7" s="5" t="s">
        <v>505</v>
      </c>
      <c r="C7" s="5" t="s">
        <v>506</v>
      </c>
      <c r="D7" s="5" t="s">
        <v>507</v>
      </c>
      <c r="E7" s="5" t="s">
        <v>508</v>
      </c>
      <c r="F7" s="5" t="s">
        <v>509</v>
      </c>
      <c r="G7" s="5" t="s">
        <v>510</v>
      </c>
    </row>
    <row r="8" spans="1:7" ht="15" customHeight="1" x14ac:dyDescent="0.3">
      <c r="A8" s="4" t="s">
        <v>511</v>
      </c>
      <c r="B8" s="4" t="s">
        <v>512</v>
      </c>
      <c r="C8" s="4" t="s">
        <v>513</v>
      </c>
      <c r="D8" s="4" t="s">
        <v>514</v>
      </c>
      <c r="E8" s="4" t="s">
        <v>515</v>
      </c>
      <c r="F8" s="4" t="s">
        <v>516</v>
      </c>
      <c r="G8" s="4" t="s">
        <v>517</v>
      </c>
    </row>
    <row r="9" spans="1:7" ht="15" customHeight="1" x14ac:dyDescent="0.3">
      <c r="A9" s="5" t="s">
        <v>518</v>
      </c>
      <c r="B9" s="5" t="s">
        <v>519</v>
      </c>
      <c r="C9" s="5" t="s">
        <v>520</v>
      </c>
      <c r="D9" s="5" t="s">
        <v>521</v>
      </c>
      <c r="E9" s="5" t="s">
        <v>522</v>
      </c>
      <c r="F9" s="5" t="s">
        <v>523</v>
      </c>
      <c r="G9" s="5" t="s">
        <v>497</v>
      </c>
    </row>
  </sheetData>
  <autoFilter ref="A1:G9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3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14" sqref="E14"/>
    </sheetView>
  </sheetViews>
  <sheetFormatPr defaultColWidth="8.6640625" defaultRowHeight="14.4" x14ac:dyDescent="0.3"/>
  <cols>
    <col min="1" max="1" width="10" customWidth="1"/>
    <col min="2" max="2" width="30" customWidth="1"/>
    <col min="3" max="3" width="8" customWidth="1"/>
    <col min="4" max="4" width="10" customWidth="1"/>
    <col min="5" max="5" width="14" customWidth="1"/>
    <col min="6" max="6" width="24" customWidth="1"/>
    <col min="7" max="18" width="10" customWidth="1"/>
  </cols>
  <sheetData>
    <row r="1" spans="1:18" x14ac:dyDescent="0.3">
      <c r="A1" s="3" t="s">
        <v>343</v>
      </c>
      <c r="B1" s="3" t="s">
        <v>344</v>
      </c>
      <c r="C1" s="3" t="s">
        <v>345</v>
      </c>
      <c r="D1" s="3" t="s">
        <v>346</v>
      </c>
      <c r="E1" s="3" t="s">
        <v>347</v>
      </c>
      <c r="F1" s="3" t="s">
        <v>348</v>
      </c>
      <c r="G1" s="3" t="s">
        <v>349</v>
      </c>
      <c r="H1" s="3" t="s">
        <v>350</v>
      </c>
      <c r="I1" s="3" t="s">
        <v>351</v>
      </c>
      <c r="J1" s="3" t="s">
        <v>352</v>
      </c>
      <c r="K1" s="3" t="s">
        <v>353</v>
      </c>
      <c r="L1" s="3" t="s">
        <v>354</v>
      </c>
      <c r="M1" s="3" t="s">
        <v>355</v>
      </c>
      <c r="N1" s="3" t="s">
        <v>356</v>
      </c>
      <c r="O1" s="3" t="s">
        <v>357</v>
      </c>
      <c r="P1" s="3" t="s">
        <v>358</v>
      </c>
      <c r="Q1" s="3" t="s">
        <v>359</v>
      </c>
      <c r="R1" s="3" t="s">
        <v>360</v>
      </c>
    </row>
    <row r="2" spans="1:18" x14ac:dyDescent="0.3">
      <c r="A2" s="4" t="s">
        <v>361</v>
      </c>
      <c r="B2" s="4" t="s">
        <v>362</v>
      </c>
      <c r="C2" s="4" t="s">
        <v>363</v>
      </c>
      <c r="D2" s="4" t="s">
        <v>364</v>
      </c>
      <c r="E2" s="4" t="s">
        <v>365</v>
      </c>
      <c r="F2" s="4" t="s">
        <v>366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3">
      <c r="A3" s="5" t="s">
        <v>367</v>
      </c>
      <c r="B3" s="5" t="s">
        <v>368</v>
      </c>
      <c r="C3" s="5" t="s">
        <v>363</v>
      </c>
      <c r="D3" s="5" t="s">
        <v>369</v>
      </c>
      <c r="E3" s="5" t="s">
        <v>365</v>
      </c>
      <c r="F3" s="5" t="s">
        <v>370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4" t="s">
        <v>371</v>
      </c>
      <c r="B4" s="4" t="s">
        <v>372</v>
      </c>
      <c r="C4" s="4" t="s">
        <v>363</v>
      </c>
      <c r="D4" s="4" t="s">
        <v>373</v>
      </c>
      <c r="E4" s="4" t="s">
        <v>374</v>
      </c>
      <c r="F4" s="4" t="s">
        <v>375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">
      <c r="A5" s="5" t="s">
        <v>376</v>
      </c>
      <c r="B5" s="5" t="s">
        <v>377</v>
      </c>
      <c r="C5" s="5" t="s">
        <v>378</v>
      </c>
      <c r="D5" s="5" t="s">
        <v>379</v>
      </c>
      <c r="E5" s="5" t="s">
        <v>365</v>
      </c>
      <c r="F5" s="5" t="s">
        <v>380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4" t="s">
        <v>381</v>
      </c>
      <c r="B6" s="4" t="s">
        <v>382</v>
      </c>
      <c r="C6" s="4" t="s">
        <v>363</v>
      </c>
      <c r="D6" s="4" t="s">
        <v>383</v>
      </c>
      <c r="E6" s="4" t="s">
        <v>384</v>
      </c>
      <c r="F6" s="4" t="s">
        <v>385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>
      <c r="A7" s="5" t="s">
        <v>386</v>
      </c>
      <c r="B7" s="5" t="s">
        <v>387</v>
      </c>
      <c r="C7" s="5" t="s">
        <v>363</v>
      </c>
      <c r="D7" s="5" t="s">
        <v>373</v>
      </c>
      <c r="E7" s="5" t="s">
        <v>384</v>
      </c>
      <c r="F7" s="5" t="s">
        <v>388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3">
      <c r="A8" s="4" t="s">
        <v>389</v>
      </c>
      <c r="B8" s="4" t="s">
        <v>390</v>
      </c>
      <c r="C8" s="4" t="s">
        <v>363</v>
      </c>
      <c r="D8" s="4" t="s">
        <v>373</v>
      </c>
      <c r="E8" s="4" t="s">
        <v>374</v>
      </c>
      <c r="F8" s="4" t="s">
        <v>391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3">
      <c r="A9" s="5" t="s">
        <v>392</v>
      </c>
      <c r="B9" s="5" t="s">
        <v>393</v>
      </c>
      <c r="C9" s="5" t="s">
        <v>394</v>
      </c>
      <c r="D9" s="5" t="s">
        <v>395</v>
      </c>
      <c r="E9" s="5" t="s">
        <v>396</v>
      </c>
      <c r="F9" s="5" t="s">
        <v>397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A10" s="4" t="s">
        <v>398</v>
      </c>
      <c r="B10" s="4" t="s">
        <v>399</v>
      </c>
      <c r="C10" s="4" t="s">
        <v>363</v>
      </c>
      <c r="D10" s="4" t="s">
        <v>364</v>
      </c>
      <c r="E10" s="4" t="s">
        <v>365</v>
      </c>
      <c r="F10" s="4" t="s">
        <v>385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26.4" x14ac:dyDescent="0.3">
      <c r="A11" s="5" t="s">
        <v>400</v>
      </c>
      <c r="B11" s="5" t="s">
        <v>401</v>
      </c>
      <c r="C11" s="5" t="s">
        <v>363</v>
      </c>
      <c r="D11" s="5" t="s">
        <v>373</v>
      </c>
      <c r="E11" s="5" t="s">
        <v>396</v>
      </c>
      <c r="F11" s="5" t="s">
        <v>388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4" t="s">
        <v>402</v>
      </c>
      <c r="B12" s="4" t="s">
        <v>403</v>
      </c>
      <c r="C12" s="4" t="s">
        <v>363</v>
      </c>
      <c r="D12" s="4" t="s">
        <v>373</v>
      </c>
      <c r="E12" s="4" t="s">
        <v>374</v>
      </c>
      <c r="F12" s="4" t="s">
        <v>404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s="5" t="s">
        <v>405</v>
      </c>
      <c r="B13" s="5" t="s">
        <v>406</v>
      </c>
      <c r="C13" s="5" t="s">
        <v>378</v>
      </c>
      <c r="D13" s="5" t="s">
        <v>407</v>
      </c>
      <c r="E13" s="5" t="s">
        <v>365</v>
      </c>
      <c r="F13" s="5" t="s">
        <v>408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8" customWidth="1"/>
    <col min="2" max="2" width="20" customWidth="1"/>
    <col min="3" max="3" width="28" customWidth="1"/>
    <col min="4" max="5" width="24" customWidth="1"/>
    <col min="6" max="7" width="12" customWidth="1"/>
    <col min="8" max="8" width="10" customWidth="1"/>
    <col min="9" max="9" width="6" customWidth="1"/>
    <col min="10" max="10" width="10" customWidth="1"/>
    <col min="11" max="14" width="12" customWidth="1"/>
    <col min="15" max="15" width="18" customWidth="1"/>
    <col min="16" max="16" width="12" customWidth="1"/>
  </cols>
  <sheetData>
    <row r="1" spans="1:16" ht="23.25" customHeight="1" x14ac:dyDescent="0.3">
      <c r="A1" s="3" t="s">
        <v>343</v>
      </c>
      <c r="B1" s="3" t="s">
        <v>524</v>
      </c>
      <c r="C1" s="3" t="s">
        <v>344</v>
      </c>
      <c r="D1" s="3" t="s">
        <v>525</v>
      </c>
      <c r="E1" s="3" t="s">
        <v>526</v>
      </c>
      <c r="F1" s="3" t="s">
        <v>527</v>
      </c>
      <c r="G1" s="3" t="s">
        <v>528</v>
      </c>
      <c r="H1" s="3" t="s">
        <v>529</v>
      </c>
      <c r="I1" s="3" t="s">
        <v>345</v>
      </c>
      <c r="J1" s="3" t="s">
        <v>346</v>
      </c>
      <c r="K1" s="3" t="s">
        <v>347</v>
      </c>
      <c r="L1" s="3" t="s">
        <v>530</v>
      </c>
      <c r="M1" s="3" t="s">
        <v>531</v>
      </c>
      <c r="N1" s="3" t="s">
        <v>532</v>
      </c>
      <c r="O1" s="3" t="s">
        <v>533</v>
      </c>
      <c r="P1" s="3" t="s">
        <v>171</v>
      </c>
    </row>
    <row r="2" spans="1:16" ht="15" customHeight="1" x14ac:dyDescent="0.3">
      <c r="A2" s="1" t="s">
        <v>534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 x14ac:dyDescent="0.3">
      <c r="A3" s="12" t="s">
        <v>535</v>
      </c>
      <c r="B3" s="12" t="s">
        <v>534</v>
      </c>
      <c r="C3" s="12" t="s">
        <v>536</v>
      </c>
      <c r="D3" s="12" t="s">
        <v>537</v>
      </c>
      <c r="E3" s="12" t="s">
        <v>538</v>
      </c>
      <c r="F3" s="12">
        <v>18</v>
      </c>
      <c r="G3" s="12">
        <v>20</v>
      </c>
      <c r="H3" s="12">
        <v>90</v>
      </c>
      <c r="I3" s="12" t="s">
        <v>363</v>
      </c>
      <c r="J3" s="12" t="s">
        <v>373</v>
      </c>
      <c r="K3" s="12" t="s">
        <v>374</v>
      </c>
      <c r="L3" s="13"/>
      <c r="M3" s="13"/>
      <c r="N3" s="14" t="str">
        <f>IF(M3=0,"",L3/M3*100)</f>
        <v/>
      </c>
      <c r="O3" s="12"/>
      <c r="P3" s="12"/>
    </row>
    <row r="4" spans="1:16" ht="27.75" customHeight="1" x14ac:dyDescent="0.3">
      <c r="A4" s="12" t="s">
        <v>539</v>
      </c>
      <c r="B4" s="12" t="s">
        <v>534</v>
      </c>
      <c r="C4" s="12" t="s">
        <v>540</v>
      </c>
      <c r="D4" s="12" t="s">
        <v>541</v>
      </c>
      <c r="E4" s="12" t="s">
        <v>542</v>
      </c>
      <c r="F4" s="12">
        <v>2</v>
      </c>
      <c r="G4" s="12">
        <v>2</v>
      </c>
      <c r="H4" s="12">
        <v>100</v>
      </c>
      <c r="I4" s="12" t="s">
        <v>363</v>
      </c>
      <c r="J4" s="12" t="s">
        <v>373</v>
      </c>
      <c r="K4" s="12" t="s">
        <v>374</v>
      </c>
      <c r="L4" s="13"/>
      <c r="M4" s="13"/>
      <c r="N4" s="14" t="str">
        <f>IF(M4=0,"",L4/M4*100)</f>
        <v/>
      </c>
      <c r="O4" s="12"/>
      <c r="P4" s="12"/>
    </row>
    <row r="5" spans="1:16" ht="15" customHeight="1" x14ac:dyDescent="0.3">
      <c r="A5" s="12" t="s">
        <v>543</v>
      </c>
      <c r="B5" s="12" t="s">
        <v>534</v>
      </c>
      <c r="C5" s="12" t="s">
        <v>544</v>
      </c>
      <c r="D5" s="12" t="s">
        <v>545</v>
      </c>
      <c r="E5" s="12" t="s">
        <v>546</v>
      </c>
      <c r="F5" s="12">
        <v>1200000</v>
      </c>
      <c r="G5" s="12">
        <v>1500000</v>
      </c>
      <c r="H5" s="12">
        <v>80</v>
      </c>
      <c r="I5" s="12" t="s">
        <v>363</v>
      </c>
      <c r="J5" s="12" t="s">
        <v>547</v>
      </c>
      <c r="K5" s="12" t="s">
        <v>374</v>
      </c>
      <c r="L5" s="13"/>
      <c r="M5" s="13"/>
      <c r="N5" s="14" t="str">
        <f>IF(M5=0,"",L5/M5*100)</f>
        <v/>
      </c>
      <c r="O5" s="12"/>
      <c r="P5" s="12"/>
    </row>
    <row r="6" spans="1:16" ht="15" customHeight="1" x14ac:dyDescent="0.3">
      <c r="A6" s="12" t="s">
        <v>548</v>
      </c>
      <c r="B6" s="12" t="s">
        <v>534</v>
      </c>
      <c r="C6" s="12" t="s">
        <v>549</v>
      </c>
      <c r="D6" s="12" t="s">
        <v>550</v>
      </c>
      <c r="E6" s="12" t="s">
        <v>551</v>
      </c>
      <c r="F6" s="12">
        <v>280000</v>
      </c>
      <c r="G6" s="12">
        <v>350000</v>
      </c>
      <c r="H6" s="12">
        <v>80</v>
      </c>
      <c r="I6" s="12" t="s">
        <v>363</v>
      </c>
      <c r="J6" s="12" t="s">
        <v>552</v>
      </c>
      <c r="K6" s="12" t="s">
        <v>384</v>
      </c>
      <c r="L6" s="13"/>
      <c r="M6" s="13"/>
      <c r="N6" s="14" t="str">
        <f>IF(M6=0,"",L6/M6*100)</f>
        <v/>
      </c>
      <c r="O6" s="12"/>
      <c r="P6" s="12"/>
    </row>
    <row r="7" spans="1:16" ht="27.75" customHeight="1" x14ac:dyDescent="0.3">
      <c r="A7" s="12" t="s">
        <v>553</v>
      </c>
      <c r="B7" s="12" t="s">
        <v>534</v>
      </c>
      <c r="C7" s="12" t="s">
        <v>554</v>
      </c>
      <c r="D7" s="12" t="s">
        <v>555</v>
      </c>
      <c r="E7" s="12" t="s">
        <v>556</v>
      </c>
      <c r="F7" s="12">
        <v>14</v>
      </c>
      <c r="G7" s="12">
        <v>16</v>
      </c>
      <c r="H7" s="12">
        <v>87.5</v>
      </c>
      <c r="I7" s="12" t="s">
        <v>363</v>
      </c>
      <c r="J7" s="12" t="s">
        <v>373</v>
      </c>
      <c r="K7" s="12" t="s">
        <v>557</v>
      </c>
      <c r="L7" s="13"/>
      <c r="M7" s="13"/>
      <c r="N7" s="14" t="str">
        <f>IF(M7=0,"",L7/M7*100)</f>
        <v/>
      </c>
      <c r="O7" s="12"/>
      <c r="P7" s="12"/>
    </row>
    <row r="8" spans="1:16" ht="15" customHeight="1" x14ac:dyDescent="0.3">
      <c r="A8" s="1" t="s">
        <v>558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 x14ac:dyDescent="0.3">
      <c r="A9" s="12" t="s">
        <v>559</v>
      </c>
      <c r="B9" s="12" t="s">
        <v>558</v>
      </c>
      <c r="C9" s="12" t="s">
        <v>560</v>
      </c>
      <c r="D9" s="12" t="s">
        <v>561</v>
      </c>
      <c r="E9" s="12" t="s">
        <v>562</v>
      </c>
      <c r="F9" s="12">
        <v>120</v>
      </c>
      <c r="G9" s="12">
        <v>120</v>
      </c>
      <c r="H9" s="12">
        <v>100</v>
      </c>
      <c r="I9" s="12" t="s">
        <v>363</v>
      </c>
      <c r="J9" s="12" t="s">
        <v>373</v>
      </c>
      <c r="K9" s="12" t="s">
        <v>374</v>
      </c>
      <c r="L9" s="13"/>
      <c r="M9" s="13"/>
      <c r="N9" s="14" t="str">
        <f t="shared" ref="N9:N14" si="0">IF(M9=0,"",L9/M9*100)</f>
        <v/>
      </c>
      <c r="O9" s="12"/>
      <c r="P9" s="12"/>
    </row>
    <row r="10" spans="1:16" ht="15" customHeight="1" x14ac:dyDescent="0.3">
      <c r="A10" s="12" t="s">
        <v>563</v>
      </c>
      <c r="B10" s="12" t="s">
        <v>558</v>
      </c>
      <c r="C10" s="12" t="s">
        <v>564</v>
      </c>
      <c r="D10" s="12" t="s">
        <v>565</v>
      </c>
      <c r="E10" s="12" t="s">
        <v>566</v>
      </c>
      <c r="F10" s="12">
        <v>35</v>
      </c>
      <c r="G10" s="12">
        <v>40</v>
      </c>
      <c r="H10" s="12">
        <v>87.5</v>
      </c>
      <c r="I10" s="12" t="s">
        <v>363</v>
      </c>
      <c r="J10" s="12" t="s">
        <v>373</v>
      </c>
      <c r="K10" s="12" t="s">
        <v>374</v>
      </c>
      <c r="L10" s="13"/>
      <c r="M10" s="13"/>
      <c r="N10" s="14" t="str">
        <f t="shared" si="0"/>
        <v/>
      </c>
      <c r="O10" s="12"/>
      <c r="P10" s="12"/>
    </row>
    <row r="11" spans="1:16" ht="15" customHeight="1" x14ac:dyDescent="0.3">
      <c r="A11" s="12" t="s">
        <v>567</v>
      </c>
      <c r="B11" s="12" t="s">
        <v>558</v>
      </c>
      <c r="C11" s="12" t="s">
        <v>568</v>
      </c>
      <c r="D11" s="12" t="s">
        <v>569</v>
      </c>
      <c r="E11" s="12" t="s">
        <v>570</v>
      </c>
      <c r="F11" s="12">
        <v>38</v>
      </c>
      <c r="G11" s="12">
        <v>42</v>
      </c>
      <c r="H11" s="12">
        <v>90.5</v>
      </c>
      <c r="I11" s="12" t="s">
        <v>363</v>
      </c>
      <c r="J11" s="12" t="s">
        <v>373</v>
      </c>
      <c r="K11" s="12" t="s">
        <v>374</v>
      </c>
      <c r="L11" s="13"/>
      <c r="M11" s="13"/>
      <c r="N11" s="14" t="str">
        <f t="shared" si="0"/>
        <v/>
      </c>
      <c r="O11" s="12"/>
      <c r="P11" s="12"/>
    </row>
    <row r="12" spans="1:16" ht="15" customHeight="1" x14ac:dyDescent="0.3">
      <c r="A12" s="12" t="s">
        <v>571</v>
      </c>
      <c r="B12" s="12" t="s">
        <v>558</v>
      </c>
      <c r="C12" s="12" t="s">
        <v>572</v>
      </c>
      <c r="D12" s="12" t="s">
        <v>573</v>
      </c>
      <c r="E12" s="12" t="s">
        <v>574</v>
      </c>
      <c r="F12" s="12">
        <v>180</v>
      </c>
      <c r="G12" s="12">
        <v>195</v>
      </c>
      <c r="H12" s="12">
        <v>92.3</v>
      </c>
      <c r="I12" s="12" t="s">
        <v>363</v>
      </c>
      <c r="J12" s="12" t="s">
        <v>575</v>
      </c>
      <c r="K12" s="12" t="s">
        <v>384</v>
      </c>
      <c r="L12" s="13"/>
      <c r="M12" s="13"/>
      <c r="N12" s="14" t="str">
        <f t="shared" si="0"/>
        <v/>
      </c>
      <c r="O12" s="12"/>
      <c r="P12" s="12"/>
    </row>
    <row r="13" spans="1:16" ht="15" customHeight="1" x14ac:dyDescent="0.3">
      <c r="A13" s="12" t="s">
        <v>576</v>
      </c>
      <c r="B13" s="12" t="s">
        <v>558</v>
      </c>
      <c r="C13" s="12" t="s">
        <v>577</v>
      </c>
      <c r="D13" s="12" t="s">
        <v>578</v>
      </c>
      <c r="E13" s="12" t="s">
        <v>579</v>
      </c>
      <c r="F13" s="12">
        <v>15</v>
      </c>
      <c r="G13" s="12">
        <v>15</v>
      </c>
      <c r="H13" s="12">
        <v>100</v>
      </c>
      <c r="I13" s="12" t="s">
        <v>363</v>
      </c>
      <c r="J13" s="12" t="s">
        <v>373</v>
      </c>
      <c r="K13" s="12" t="s">
        <v>374</v>
      </c>
      <c r="L13" s="13"/>
      <c r="M13" s="13"/>
      <c r="N13" s="14" t="str">
        <f t="shared" si="0"/>
        <v/>
      </c>
      <c r="O13" s="12"/>
      <c r="P13" s="12"/>
    </row>
    <row r="14" spans="1:16" ht="15" customHeight="1" x14ac:dyDescent="0.3">
      <c r="A14" s="12" t="s">
        <v>580</v>
      </c>
      <c r="B14" s="12" t="s">
        <v>558</v>
      </c>
      <c r="C14" s="12" t="s">
        <v>581</v>
      </c>
      <c r="D14" s="12" t="s">
        <v>582</v>
      </c>
      <c r="E14" s="12" t="s">
        <v>583</v>
      </c>
      <c r="F14" s="12">
        <v>28</v>
      </c>
      <c r="G14" s="12">
        <v>30</v>
      </c>
      <c r="H14" s="12">
        <v>93.3</v>
      </c>
      <c r="I14" s="12" t="s">
        <v>363</v>
      </c>
      <c r="J14" s="12" t="s">
        <v>373</v>
      </c>
      <c r="K14" s="12" t="s">
        <v>374</v>
      </c>
      <c r="L14" s="13"/>
      <c r="M14" s="13"/>
      <c r="N14" s="14" t="str">
        <f t="shared" si="0"/>
        <v/>
      </c>
      <c r="O14" s="12"/>
      <c r="P14" s="12"/>
    </row>
    <row r="15" spans="1:16" ht="15" customHeight="1" x14ac:dyDescent="0.3">
      <c r="A15" s="1" t="s">
        <v>584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7.75" customHeight="1" x14ac:dyDescent="0.3">
      <c r="A16" s="12" t="s">
        <v>585</v>
      </c>
      <c r="B16" s="12" t="s">
        <v>584</v>
      </c>
      <c r="C16" s="12" t="s">
        <v>586</v>
      </c>
      <c r="D16" s="12" t="s">
        <v>587</v>
      </c>
      <c r="E16" s="12" t="s">
        <v>588</v>
      </c>
      <c r="F16" s="12">
        <v>24</v>
      </c>
      <c r="G16" s="12">
        <v>26</v>
      </c>
      <c r="H16" s="12">
        <v>92.3</v>
      </c>
      <c r="I16" s="12" t="s">
        <v>363</v>
      </c>
      <c r="J16" s="12" t="s">
        <v>373</v>
      </c>
      <c r="K16" s="12" t="s">
        <v>374</v>
      </c>
      <c r="L16" s="13"/>
      <c r="M16" s="13"/>
      <c r="N16" s="14" t="str">
        <f>IF(M16=0,"",L16/M16*100)</f>
        <v/>
      </c>
      <c r="O16" s="12"/>
      <c r="P16" s="12"/>
    </row>
    <row r="17" spans="1:16" ht="27.75" customHeight="1" x14ac:dyDescent="0.3">
      <c r="A17" s="12" t="s">
        <v>589</v>
      </c>
      <c r="B17" s="12" t="s">
        <v>584</v>
      </c>
      <c r="C17" s="12" t="s">
        <v>590</v>
      </c>
      <c r="D17" s="12" t="s">
        <v>591</v>
      </c>
      <c r="E17" s="12" t="s">
        <v>592</v>
      </c>
      <c r="F17" s="12">
        <v>10</v>
      </c>
      <c r="G17" s="12">
        <v>12</v>
      </c>
      <c r="H17" s="12">
        <v>83.3</v>
      </c>
      <c r="I17" s="12" t="s">
        <v>363</v>
      </c>
      <c r="J17" s="12" t="s">
        <v>373</v>
      </c>
      <c r="K17" s="12" t="s">
        <v>374</v>
      </c>
      <c r="L17" s="13"/>
      <c r="M17" s="13"/>
      <c r="N17" s="14" t="str">
        <f>IF(M17=0,"",L17/M17*100)</f>
        <v/>
      </c>
      <c r="O17" s="12"/>
      <c r="P17" s="12"/>
    </row>
    <row r="18" spans="1:16" ht="27.75" customHeight="1" x14ac:dyDescent="0.3">
      <c r="A18" s="12" t="s">
        <v>593</v>
      </c>
      <c r="B18" s="12" t="s">
        <v>584</v>
      </c>
      <c r="C18" s="12" t="s">
        <v>594</v>
      </c>
      <c r="D18" s="12" t="s">
        <v>595</v>
      </c>
      <c r="E18" s="12" t="s">
        <v>596</v>
      </c>
      <c r="F18" s="12">
        <v>18</v>
      </c>
      <c r="G18" s="12">
        <v>18</v>
      </c>
      <c r="H18" s="12">
        <v>100</v>
      </c>
      <c r="I18" s="12" t="s">
        <v>363</v>
      </c>
      <c r="J18" s="12" t="s">
        <v>373</v>
      </c>
      <c r="K18" s="12" t="s">
        <v>557</v>
      </c>
      <c r="L18" s="13"/>
      <c r="M18" s="13"/>
      <c r="N18" s="14" t="str">
        <f>IF(M18=0,"",L18/M18*100)</f>
        <v/>
      </c>
      <c r="O18" s="12"/>
      <c r="P18" s="12"/>
    </row>
    <row r="19" spans="1:16" ht="27.75" customHeight="1" x14ac:dyDescent="0.3">
      <c r="A19" s="12" t="s">
        <v>597</v>
      </c>
      <c r="B19" s="12" t="s">
        <v>584</v>
      </c>
      <c r="C19" s="12" t="s">
        <v>598</v>
      </c>
      <c r="D19" s="12" t="s">
        <v>599</v>
      </c>
      <c r="E19" s="12" t="s">
        <v>600</v>
      </c>
      <c r="F19" s="12">
        <v>4</v>
      </c>
      <c r="G19" s="12">
        <v>5</v>
      </c>
      <c r="H19" s="12">
        <v>80</v>
      </c>
      <c r="I19" s="12" t="s">
        <v>363</v>
      </c>
      <c r="J19" s="12" t="s">
        <v>547</v>
      </c>
      <c r="K19" s="12" t="s">
        <v>374</v>
      </c>
      <c r="L19" s="13"/>
      <c r="M19" s="13"/>
      <c r="N19" s="14" t="str">
        <f>IF(M19=0,"",L19/M19*100)</f>
        <v/>
      </c>
      <c r="O19" s="12"/>
      <c r="P19" s="12"/>
    </row>
    <row r="20" spans="1:16" ht="27.75" customHeight="1" x14ac:dyDescent="0.3">
      <c r="A20" s="12" t="s">
        <v>601</v>
      </c>
      <c r="B20" s="12" t="s">
        <v>584</v>
      </c>
      <c r="C20" s="12" t="s">
        <v>602</v>
      </c>
      <c r="D20" s="12" t="s">
        <v>603</v>
      </c>
      <c r="E20" s="12" t="s">
        <v>604</v>
      </c>
      <c r="F20" s="12">
        <v>7</v>
      </c>
      <c r="G20" s="12">
        <v>8</v>
      </c>
      <c r="H20" s="12">
        <v>87.5</v>
      </c>
      <c r="I20" s="12" t="s">
        <v>363</v>
      </c>
      <c r="J20" s="12" t="s">
        <v>373</v>
      </c>
      <c r="K20" s="12" t="s">
        <v>374</v>
      </c>
      <c r="L20" s="13"/>
      <c r="M20" s="13"/>
      <c r="N20" s="14" t="str">
        <f>IF(M20=0,"",L20/M20*100)</f>
        <v/>
      </c>
      <c r="O20" s="12"/>
      <c r="P20" s="12"/>
    </row>
    <row r="21" spans="1:16" ht="15" customHeight="1" x14ac:dyDescent="0.3">
      <c r="A21" s="1" t="s">
        <v>605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7.75" customHeight="1" x14ac:dyDescent="0.3">
      <c r="A22" s="12" t="s">
        <v>606</v>
      </c>
      <c r="B22" s="12" t="s">
        <v>605</v>
      </c>
      <c r="C22" s="12" t="s">
        <v>607</v>
      </c>
      <c r="D22" s="12" t="s">
        <v>608</v>
      </c>
      <c r="E22" s="12" t="s">
        <v>609</v>
      </c>
      <c r="F22" s="12">
        <v>6</v>
      </c>
      <c r="G22" s="12">
        <v>8</v>
      </c>
      <c r="H22" s="12">
        <v>75</v>
      </c>
      <c r="I22" s="12" t="s">
        <v>363</v>
      </c>
      <c r="J22" s="12" t="s">
        <v>610</v>
      </c>
      <c r="K22" s="12" t="s">
        <v>384</v>
      </c>
      <c r="L22" s="13"/>
      <c r="M22" s="13"/>
      <c r="N22" s="14" t="str">
        <f>IF(M22=0,"",L22/M22*100)</f>
        <v/>
      </c>
      <c r="O22" s="12"/>
      <c r="P22" s="12"/>
    </row>
    <row r="23" spans="1:16" ht="27.75" customHeight="1" x14ac:dyDescent="0.3">
      <c r="A23" s="12" t="s">
        <v>611</v>
      </c>
      <c r="B23" s="12" t="s">
        <v>605</v>
      </c>
      <c r="C23" s="12" t="s">
        <v>612</v>
      </c>
      <c r="D23" s="12" t="s">
        <v>613</v>
      </c>
      <c r="E23" s="12" t="s">
        <v>614</v>
      </c>
      <c r="F23" s="12">
        <v>4</v>
      </c>
      <c r="G23" s="12">
        <v>5</v>
      </c>
      <c r="H23" s="12">
        <v>80</v>
      </c>
      <c r="I23" s="12" t="s">
        <v>363</v>
      </c>
      <c r="J23" s="12" t="s">
        <v>547</v>
      </c>
      <c r="K23" s="12" t="s">
        <v>384</v>
      </c>
      <c r="L23" s="13"/>
      <c r="M23" s="13"/>
      <c r="N23" s="14" t="str">
        <f>IF(M23=0,"",L23/M23*100)</f>
        <v/>
      </c>
      <c r="O23" s="12"/>
      <c r="P23" s="12"/>
    </row>
    <row r="24" spans="1:16" ht="27.75" customHeight="1" x14ac:dyDescent="0.3">
      <c r="A24" s="12" t="s">
        <v>615</v>
      </c>
      <c r="B24" s="12" t="s">
        <v>605</v>
      </c>
      <c r="C24" s="12" t="s">
        <v>616</v>
      </c>
      <c r="D24" s="12" t="s">
        <v>617</v>
      </c>
      <c r="E24" s="12" t="s">
        <v>618</v>
      </c>
      <c r="F24" s="12">
        <v>85</v>
      </c>
      <c r="G24" s="12">
        <v>340</v>
      </c>
      <c r="H24" s="12">
        <v>25</v>
      </c>
      <c r="I24" s="12" t="s">
        <v>363</v>
      </c>
      <c r="J24" s="12" t="s">
        <v>619</v>
      </c>
      <c r="K24" s="12" t="s">
        <v>384</v>
      </c>
      <c r="L24" s="13"/>
      <c r="M24" s="13"/>
      <c r="N24" s="14" t="str">
        <f>IF(M24=0,"",L24/M24*100)</f>
        <v/>
      </c>
      <c r="O24" s="12"/>
      <c r="P24" s="12"/>
    </row>
    <row r="25" spans="1:16" ht="27.75" customHeight="1" x14ac:dyDescent="0.3">
      <c r="A25" s="12" t="s">
        <v>620</v>
      </c>
      <c r="B25" s="12" t="s">
        <v>605</v>
      </c>
      <c r="C25" s="12" t="s">
        <v>621</v>
      </c>
      <c r="D25" s="12" t="s">
        <v>622</v>
      </c>
      <c r="E25" s="12" t="s">
        <v>623</v>
      </c>
      <c r="F25" s="12">
        <v>52</v>
      </c>
      <c r="G25" s="12">
        <v>78</v>
      </c>
      <c r="H25" s="12">
        <v>66.7</v>
      </c>
      <c r="I25" s="12" t="s">
        <v>363</v>
      </c>
      <c r="J25" s="12" t="s">
        <v>624</v>
      </c>
      <c r="K25" s="12" t="s">
        <v>557</v>
      </c>
      <c r="L25" s="13"/>
      <c r="M25" s="13"/>
      <c r="N25" s="14" t="str">
        <f>IF(M25=0,"",L25/M25*100)</f>
        <v/>
      </c>
      <c r="O25" s="12"/>
      <c r="P25" s="12"/>
    </row>
    <row r="26" spans="1:16" ht="15" customHeight="1" x14ac:dyDescent="0.3">
      <c r="A26" s="1" t="s">
        <v>625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 x14ac:dyDescent="0.3">
      <c r="A27" s="12" t="s">
        <v>626</v>
      </c>
      <c r="B27" s="12" t="s">
        <v>625</v>
      </c>
      <c r="C27" s="12" t="s">
        <v>627</v>
      </c>
      <c r="D27" s="12" t="s">
        <v>628</v>
      </c>
      <c r="E27" s="12" t="s">
        <v>562</v>
      </c>
      <c r="F27" s="12">
        <v>114</v>
      </c>
      <c r="G27" s="12">
        <v>120</v>
      </c>
      <c r="H27" s="12">
        <v>95</v>
      </c>
      <c r="I27" s="12" t="s">
        <v>363</v>
      </c>
      <c r="J27" s="12" t="s">
        <v>575</v>
      </c>
      <c r="K27" s="12" t="s">
        <v>365</v>
      </c>
      <c r="L27" s="13"/>
      <c r="M27" s="13"/>
      <c r="N27" s="14" t="str">
        <f t="shared" ref="N27:N34" si="1">IF(M27=0,"",L27/M27*100)</f>
        <v/>
      </c>
      <c r="O27" s="12"/>
      <c r="P27" s="12"/>
    </row>
    <row r="28" spans="1:16" ht="15" customHeight="1" x14ac:dyDescent="0.3">
      <c r="A28" s="12" t="s">
        <v>629</v>
      </c>
      <c r="B28" s="12" t="s">
        <v>625</v>
      </c>
      <c r="C28" s="12" t="s">
        <v>630</v>
      </c>
      <c r="D28" s="12" t="s">
        <v>631</v>
      </c>
      <c r="E28" s="12" t="s">
        <v>632</v>
      </c>
      <c r="F28" s="12">
        <v>7</v>
      </c>
      <c r="G28" s="12">
        <v>8</v>
      </c>
      <c r="H28" s="12">
        <v>87.5</v>
      </c>
      <c r="I28" s="12" t="s">
        <v>363</v>
      </c>
      <c r="J28" s="12" t="s">
        <v>575</v>
      </c>
      <c r="K28" s="12" t="s">
        <v>365</v>
      </c>
      <c r="L28" s="13"/>
      <c r="M28" s="13"/>
      <c r="N28" s="14" t="str">
        <f t="shared" si="1"/>
        <v/>
      </c>
      <c r="O28" s="12"/>
      <c r="P28" s="12"/>
    </row>
    <row r="29" spans="1:16" ht="15" customHeight="1" x14ac:dyDescent="0.3">
      <c r="A29" s="12" t="s">
        <v>633</v>
      </c>
      <c r="B29" s="12" t="s">
        <v>625</v>
      </c>
      <c r="C29" s="12" t="s">
        <v>634</v>
      </c>
      <c r="D29" s="12" t="s">
        <v>635</v>
      </c>
      <c r="E29" s="12" t="s">
        <v>636</v>
      </c>
      <c r="F29" s="12">
        <v>19</v>
      </c>
      <c r="G29" s="12">
        <v>22</v>
      </c>
      <c r="H29" s="12">
        <v>86.4</v>
      </c>
      <c r="I29" s="12" t="s">
        <v>363</v>
      </c>
      <c r="J29" s="12" t="s">
        <v>547</v>
      </c>
      <c r="K29" s="12" t="s">
        <v>365</v>
      </c>
      <c r="L29" s="13"/>
      <c r="M29" s="13"/>
      <c r="N29" s="14" t="str">
        <f t="shared" si="1"/>
        <v/>
      </c>
      <c r="O29" s="12"/>
      <c r="P29" s="12"/>
    </row>
    <row r="30" spans="1:16" ht="27.75" customHeight="1" x14ac:dyDescent="0.3">
      <c r="A30" s="12" t="s">
        <v>637</v>
      </c>
      <c r="B30" s="12" t="s">
        <v>625</v>
      </c>
      <c r="C30" s="12" t="s">
        <v>638</v>
      </c>
      <c r="D30" s="12" t="s">
        <v>639</v>
      </c>
      <c r="E30" s="12" t="s">
        <v>640</v>
      </c>
      <c r="F30" s="12">
        <v>40</v>
      </c>
      <c r="G30" s="12">
        <v>45</v>
      </c>
      <c r="H30" s="12">
        <v>88.9</v>
      </c>
      <c r="I30" s="12" t="s">
        <v>363</v>
      </c>
      <c r="J30" s="12" t="s">
        <v>641</v>
      </c>
      <c r="K30" s="12" t="s">
        <v>365</v>
      </c>
      <c r="L30" s="13"/>
      <c r="M30" s="13"/>
      <c r="N30" s="14" t="str">
        <f t="shared" si="1"/>
        <v/>
      </c>
      <c r="O30" s="12"/>
      <c r="P30" s="12"/>
    </row>
    <row r="31" spans="1:16" ht="15" customHeight="1" x14ac:dyDescent="0.3">
      <c r="A31" s="12" t="s">
        <v>642</v>
      </c>
      <c r="B31" s="12" t="s">
        <v>625</v>
      </c>
      <c r="C31" s="12" t="s">
        <v>643</v>
      </c>
      <c r="D31" s="12" t="s">
        <v>644</v>
      </c>
      <c r="E31" s="12" t="s">
        <v>645</v>
      </c>
      <c r="F31" s="12">
        <v>480</v>
      </c>
      <c r="G31" s="12">
        <v>8</v>
      </c>
      <c r="H31" s="12">
        <v>60</v>
      </c>
      <c r="I31" s="12" t="s">
        <v>646</v>
      </c>
      <c r="J31" s="12" t="s">
        <v>647</v>
      </c>
      <c r="K31" s="12" t="s">
        <v>365</v>
      </c>
      <c r="L31" s="13"/>
      <c r="M31" s="13"/>
      <c r="N31" s="14" t="str">
        <f t="shared" si="1"/>
        <v/>
      </c>
      <c r="O31" s="12"/>
      <c r="P31" s="12"/>
    </row>
    <row r="32" spans="1:16" ht="15" customHeight="1" x14ac:dyDescent="0.3">
      <c r="A32" s="12" t="s">
        <v>648</v>
      </c>
      <c r="B32" s="12" t="s">
        <v>625</v>
      </c>
      <c r="C32" s="12" t="s">
        <v>649</v>
      </c>
      <c r="D32" s="12" t="s">
        <v>650</v>
      </c>
      <c r="E32" s="12" t="s">
        <v>651</v>
      </c>
      <c r="F32" s="12">
        <v>1650</v>
      </c>
      <c r="G32" s="12">
        <v>75</v>
      </c>
      <c r="H32" s="12">
        <v>22</v>
      </c>
      <c r="I32" s="12" t="s">
        <v>378</v>
      </c>
      <c r="J32" s="12" t="s">
        <v>652</v>
      </c>
      <c r="K32" s="12" t="s">
        <v>365</v>
      </c>
      <c r="L32" s="13"/>
      <c r="M32" s="13"/>
      <c r="N32" s="14" t="str">
        <f t="shared" si="1"/>
        <v/>
      </c>
      <c r="O32" s="12"/>
      <c r="P32" s="12"/>
    </row>
    <row r="33" spans="1:16" ht="15" customHeight="1" x14ac:dyDescent="0.3">
      <c r="A33" s="12" t="s">
        <v>653</v>
      </c>
      <c r="B33" s="12" t="s">
        <v>625</v>
      </c>
      <c r="C33" s="12" t="s">
        <v>654</v>
      </c>
      <c r="D33" s="12" t="s">
        <v>655</v>
      </c>
      <c r="E33" s="12" t="s">
        <v>562</v>
      </c>
      <c r="F33" s="12">
        <v>102</v>
      </c>
      <c r="G33" s="12">
        <v>120</v>
      </c>
      <c r="H33" s="12">
        <v>85</v>
      </c>
      <c r="I33" s="12" t="s">
        <v>363</v>
      </c>
      <c r="J33" s="12" t="s">
        <v>641</v>
      </c>
      <c r="K33" s="12" t="s">
        <v>365</v>
      </c>
      <c r="L33" s="13"/>
      <c r="M33" s="13"/>
      <c r="N33" s="14" t="str">
        <f t="shared" si="1"/>
        <v/>
      </c>
      <c r="O33" s="12"/>
      <c r="P33" s="12"/>
    </row>
    <row r="34" spans="1:16" ht="15" customHeight="1" x14ac:dyDescent="0.3">
      <c r="A34" s="12" t="s">
        <v>656</v>
      </c>
      <c r="B34" s="12" t="s">
        <v>625</v>
      </c>
      <c r="C34" s="12" t="s">
        <v>657</v>
      </c>
      <c r="D34" s="12" t="s">
        <v>658</v>
      </c>
      <c r="E34" s="12" t="s">
        <v>659</v>
      </c>
      <c r="F34" s="12">
        <v>16</v>
      </c>
      <c r="G34" s="12">
        <v>18</v>
      </c>
      <c r="H34" s="12">
        <v>88.9</v>
      </c>
      <c r="I34" s="12" t="s">
        <v>363</v>
      </c>
      <c r="J34" s="12" t="s">
        <v>373</v>
      </c>
      <c r="K34" s="12" t="s">
        <v>365</v>
      </c>
      <c r="L34" s="13"/>
      <c r="M34" s="13"/>
      <c r="N34" s="14" t="str">
        <f t="shared" si="1"/>
        <v/>
      </c>
      <c r="O34" s="12"/>
      <c r="P34" s="12"/>
    </row>
    <row r="35" spans="1:16" ht="15" customHeight="1" x14ac:dyDescent="0.3">
      <c r="A35" s="1" t="s">
        <v>660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7.75" customHeight="1" x14ac:dyDescent="0.3">
      <c r="A36" s="12" t="s">
        <v>661</v>
      </c>
      <c r="B36" s="12" t="s">
        <v>660</v>
      </c>
      <c r="C36" s="12" t="s">
        <v>662</v>
      </c>
      <c r="D36" s="12" t="s">
        <v>663</v>
      </c>
      <c r="E36" s="12" t="s">
        <v>664</v>
      </c>
      <c r="F36" s="12">
        <v>180</v>
      </c>
      <c r="G36" s="12">
        <v>12</v>
      </c>
      <c r="H36" s="12">
        <v>15</v>
      </c>
      <c r="I36" s="12" t="s">
        <v>646</v>
      </c>
      <c r="J36" s="12" t="s">
        <v>665</v>
      </c>
      <c r="K36" s="12" t="s">
        <v>384</v>
      </c>
      <c r="L36" s="13"/>
      <c r="M36" s="13"/>
      <c r="N36" s="14" t="str">
        <f t="shared" ref="N36:N41" si="2">IF(M36=0,"",L36/M36*100)</f>
        <v/>
      </c>
      <c r="O36" s="12"/>
      <c r="P36" s="12"/>
    </row>
    <row r="37" spans="1:16" ht="27.75" customHeight="1" x14ac:dyDescent="0.3">
      <c r="A37" s="12" t="s">
        <v>666</v>
      </c>
      <c r="B37" s="12" t="s">
        <v>660</v>
      </c>
      <c r="C37" s="12" t="s">
        <v>667</v>
      </c>
      <c r="D37" s="12" t="s">
        <v>668</v>
      </c>
      <c r="E37" s="12" t="s">
        <v>669</v>
      </c>
      <c r="F37" s="12">
        <v>18</v>
      </c>
      <c r="G37" s="12">
        <v>6</v>
      </c>
      <c r="H37" s="12">
        <v>3</v>
      </c>
      <c r="I37" s="12" t="s">
        <v>646</v>
      </c>
      <c r="J37" s="12" t="s">
        <v>670</v>
      </c>
      <c r="K37" s="12" t="s">
        <v>384</v>
      </c>
      <c r="L37" s="13"/>
      <c r="M37" s="13"/>
      <c r="N37" s="14" t="str">
        <f t="shared" si="2"/>
        <v/>
      </c>
      <c r="O37" s="12"/>
      <c r="P37" s="12"/>
    </row>
    <row r="38" spans="1:16" ht="27.75" customHeight="1" x14ac:dyDescent="0.3">
      <c r="A38" s="12" t="s">
        <v>671</v>
      </c>
      <c r="B38" s="12" t="s">
        <v>660</v>
      </c>
      <c r="C38" s="12" t="s">
        <v>672</v>
      </c>
      <c r="D38" s="12" t="s">
        <v>673</v>
      </c>
      <c r="E38" s="12" t="s">
        <v>669</v>
      </c>
      <c r="F38" s="12">
        <v>192</v>
      </c>
      <c r="G38" s="12">
        <v>6</v>
      </c>
      <c r="H38" s="12">
        <v>32</v>
      </c>
      <c r="I38" s="12" t="s">
        <v>646</v>
      </c>
      <c r="J38" s="12" t="s">
        <v>674</v>
      </c>
      <c r="K38" s="12" t="s">
        <v>384</v>
      </c>
      <c r="L38" s="13"/>
      <c r="M38" s="13"/>
      <c r="N38" s="14" t="str">
        <f t="shared" si="2"/>
        <v/>
      </c>
      <c r="O38" s="12"/>
      <c r="P38" s="12"/>
    </row>
    <row r="39" spans="1:16" ht="27.75" customHeight="1" x14ac:dyDescent="0.3">
      <c r="A39" s="12" t="s">
        <v>675</v>
      </c>
      <c r="B39" s="12" t="s">
        <v>660</v>
      </c>
      <c r="C39" s="12" t="s">
        <v>676</v>
      </c>
      <c r="D39" s="12" t="s">
        <v>677</v>
      </c>
      <c r="E39" s="12" t="s">
        <v>678</v>
      </c>
      <c r="F39" s="12">
        <v>2</v>
      </c>
      <c r="G39" s="12">
        <v>3</v>
      </c>
      <c r="H39" s="12">
        <v>66.7</v>
      </c>
      <c r="I39" s="12" t="s">
        <v>363</v>
      </c>
      <c r="J39" s="12" t="s">
        <v>373</v>
      </c>
      <c r="K39" s="12" t="s">
        <v>557</v>
      </c>
      <c r="L39" s="13"/>
      <c r="M39" s="13"/>
      <c r="N39" s="14" t="str">
        <f t="shared" si="2"/>
        <v/>
      </c>
      <c r="O39" s="12"/>
      <c r="P39" s="12"/>
    </row>
    <row r="40" spans="1:16" ht="27.75" customHeight="1" x14ac:dyDescent="0.3">
      <c r="A40" s="12" t="s">
        <v>679</v>
      </c>
      <c r="B40" s="12" t="s">
        <v>660</v>
      </c>
      <c r="C40" s="12" t="s">
        <v>680</v>
      </c>
      <c r="D40" s="12" t="s">
        <v>681</v>
      </c>
      <c r="E40" s="12" t="s">
        <v>682</v>
      </c>
      <c r="F40" s="12">
        <v>2</v>
      </c>
      <c r="G40" s="12">
        <v>15</v>
      </c>
      <c r="H40" s="12">
        <v>13.3</v>
      </c>
      <c r="I40" s="12" t="s">
        <v>363</v>
      </c>
      <c r="J40" s="12" t="s">
        <v>683</v>
      </c>
      <c r="K40" s="12" t="s">
        <v>384</v>
      </c>
      <c r="L40" s="13"/>
      <c r="M40" s="13"/>
      <c r="N40" s="14" t="str">
        <f t="shared" si="2"/>
        <v/>
      </c>
      <c r="O40" s="12"/>
      <c r="P40" s="12"/>
    </row>
    <row r="41" spans="1:16" ht="27.75" customHeight="1" x14ac:dyDescent="0.3">
      <c r="A41" s="12" t="s">
        <v>684</v>
      </c>
      <c r="B41" s="12" t="s">
        <v>660</v>
      </c>
      <c r="C41" s="12" t="s">
        <v>685</v>
      </c>
      <c r="D41" s="12" t="s">
        <v>686</v>
      </c>
      <c r="E41" s="12" t="s">
        <v>687</v>
      </c>
      <c r="F41" s="12">
        <v>24</v>
      </c>
      <c r="G41" s="12">
        <v>28</v>
      </c>
      <c r="H41" s="12">
        <v>85.7</v>
      </c>
      <c r="I41" s="12" t="s">
        <v>363</v>
      </c>
      <c r="J41" s="12" t="s">
        <v>547</v>
      </c>
      <c r="K41" s="12" t="s">
        <v>384</v>
      </c>
      <c r="L41" s="13"/>
      <c r="M41" s="13"/>
      <c r="N41" s="14" t="str">
        <f t="shared" si="2"/>
        <v/>
      </c>
      <c r="O41" s="12"/>
      <c r="P41" s="12"/>
    </row>
    <row r="42" spans="1:16" ht="15" customHeight="1" x14ac:dyDescent="0.3">
      <c r="A42" s="1" t="s">
        <v>688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7.75" customHeight="1" x14ac:dyDescent="0.3">
      <c r="A43" s="12" t="s">
        <v>689</v>
      </c>
      <c r="B43" s="12" t="s">
        <v>688</v>
      </c>
      <c r="C43" s="12" t="s">
        <v>690</v>
      </c>
      <c r="D43" s="12" t="s">
        <v>691</v>
      </c>
      <c r="E43" s="12" t="s">
        <v>692</v>
      </c>
      <c r="F43" s="12">
        <v>112</v>
      </c>
      <c r="G43" s="12">
        <v>120</v>
      </c>
      <c r="H43" s="12">
        <v>93.3</v>
      </c>
      <c r="I43" s="12" t="s">
        <v>363</v>
      </c>
      <c r="J43" s="12" t="s">
        <v>575</v>
      </c>
      <c r="K43" s="12" t="s">
        <v>384</v>
      </c>
      <c r="L43" s="13"/>
      <c r="M43" s="13"/>
      <c r="N43" s="14" t="str">
        <f>IF(M43=0,"",L43/M43*100)</f>
        <v/>
      </c>
      <c r="O43" s="12"/>
      <c r="P43" s="12"/>
    </row>
    <row r="44" spans="1:16" ht="27.75" customHeight="1" x14ac:dyDescent="0.3">
      <c r="A44" s="12" t="s">
        <v>693</v>
      </c>
      <c r="B44" s="12" t="s">
        <v>688</v>
      </c>
      <c r="C44" s="12" t="s">
        <v>694</v>
      </c>
      <c r="D44" s="12" t="s">
        <v>695</v>
      </c>
      <c r="E44" s="12" t="s">
        <v>696</v>
      </c>
      <c r="F44" s="12">
        <v>28</v>
      </c>
      <c r="G44" s="12">
        <v>32</v>
      </c>
      <c r="H44" s="12">
        <v>87.5</v>
      </c>
      <c r="I44" s="12" t="s">
        <v>363</v>
      </c>
      <c r="J44" s="12" t="s">
        <v>547</v>
      </c>
      <c r="K44" s="12" t="s">
        <v>384</v>
      </c>
      <c r="L44" s="13"/>
      <c r="M44" s="13"/>
      <c r="N44" s="14" t="str">
        <f>IF(M44=0,"",L44/M44*100)</f>
        <v/>
      </c>
      <c r="O44" s="12"/>
      <c r="P44" s="12"/>
    </row>
    <row r="45" spans="1:16" ht="27.75" customHeight="1" x14ac:dyDescent="0.3">
      <c r="A45" s="12" t="s">
        <v>697</v>
      </c>
      <c r="B45" s="12" t="s">
        <v>688</v>
      </c>
      <c r="C45" s="12" t="s">
        <v>698</v>
      </c>
      <c r="D45" s="12" t="s">
        <v>699</v>
      </c>
      <c r="E45" s="12" t="s">
        <v>700</v>
      </c>
      <c r="F45" s="12">
        <v>42</v>
      </c>
      <c r="G45" s="12">
        <v>45</v>
      </c>
      <c r="H45" s="12">
        <v>93.3</v>
      </c>
      <c r="I45" s="12" t="s">
        <v>363</v>
      </c>
      <c r="J45" s="12" t="s">
        <v>373</v>
      </c>
      <c r="K45" s="12" t="s">
        <v>374</v>
      </c>
      <c r="L45" s="13"/>
      <c r="M45" s="13"/>
      <c r="N45" s="14" t="str">
        <f>IF(M45=0,"",L45/M45*100)</f>
        <v/>
      </c>
      <c r="O45" s="12"/>
      <c r="P45" s="12"/>
    </row>
    <row r="46" spans="1:16" ht="27.75" customHeight="1" x14ac:dyDescent="0.3">
      <c r="A46" s="12" t="s">
        <v>701</v>
      </c>
      <c r="B46" s="12" t="s">
        <v>688</v>
      </c>
      <c r="C46" s="12" t="s">
        <v>399</v>
      </c>
      <c r="D46" s="12" t="s">
        <v>702</v>
      </c>
      <c r="E46" s="12" t="s">
        <v>703</v>
      </c>
      <c r="F46" s="12">
        <v>108</v>
      </c>
      <c r="G46" s="12">
        <v>120</v>
      </c>
      <c r="H46" s="12">
        <v>90</v>
      </c>
      <c r="I46" s="12" t="s">
        <v>363</v>
      </c>
      <c r="J46" s="12" t="s">
        <v>547</v>
      </c>
      <c r="K46" s="12" t="s">
        <v>365</v>
      </c>
      <c r="L46" s="13"/>
      <c r="M46" s="13"/>
      <c r="N46" s="14" t="str">
        <f>IF(M46=0,"",L46/M46*100)</f>
        <v/>
      </c>
      <c r="O46" s="12"/>
      <c r="P46" s="12"/>
    </row>
    <row r="47" spans="1:16" ht="27.75" customHeight="1" x14ac:dyDescent="0.3">
      <c r="A47" s="12" t="s">
        <v>704</v>
      </c>
      <c r="B47" s="12" t="s">
        <v>688</v>
      </c>
      <c r="C47" s="12" t="s">
        <v>382</v>
      </c>
      <c r="D47" s="12" t="s">
        <v>705</v>
      </c>
      <c r="E47" s="12" t="s">
        <v>706</v>
      </c>
      <c r="F47" s="12">
        <v>82</v>
      </c>
      <c r="G47" s="12">
        <v>85</v>
      </c>
      <c r="H47" s="12">
        <v>96.5</v>
      </c>
      <c r="I47" s="12" t="s">
        <v>363</v>
      </c>
      <c r="J47" s="12" t="s">
        <v>575</v>
      </c>
      <c r="K47" s="12" t="s">
        <v>384</v>
      </c>
      <c r="L47" s="13"/>
      <c r="M47" s="13"/>
      <c r="N47" s="14" t="str">
        <f>IF(M47=0,"",L47/M47*100)</f>
        <v/>
      </c>
      <c r="O47" s="12"/>
      <c r="P47" s="12"/>
    </row>
    <row r="48" spans="1:16" ht="15" customHeight="1" x14ac:dyDescent="0.3">
      <c r="A48" s="1" t="s">
        <v>707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7.75" customHeight="1" x14ac:dyDescent="0.3">
      <c r="A49" s="12" t="s">
        <v>708</v>
      </c>
      <c r="B49" s="12" t="s">
        <v>707</v>
      </c>
      <c r="C49" s="12" t="s">
        <v>390</v>
      </c>
      <c r="D49" s="12" t="s">
        <v>709</v>
      </c>
      <c r="E49" s="12" t="s">
        <v>710</v>
      </c>
      <c r="F49" s="12">
        <v>43</v>
      </c>
      <c r="G49" s="12">
        <v>45</v>
      </c>
      <c r="H49" s="12">
        <v>95.6</v>
      </c>
      <c r="I49" s="12" t="s">
        <v>363</v>
      </c>
      <c r="J49" s="12" t="s">
        <v>373</v>
      </c>
      <c r="K49" s="12" t="s">
        <v>374</v>
      </c>
      <c r="L49" s="13"/>
      <c r="M49" s="13"/>
      <c r="N49" s="14" t="str">
        <f>IF(M49=0,"",L49/M49*100)</f>
        <v/>
      </c>
      <c r="O49" s="12"/>
      <c r="P49" s="12"/>
    </row>
    <row r="50" spans="1:16" ht="27.75" customHeight="1" x14ac:dyDescent="0.3">
      <c r="A50" s="12" t="s">
        <v>711</v>
      </c>
      <c r="B50" s="12" t="s">
        <v>707</v>
      </c>
      <c r="C50" s="12" t="s">
        <v>712</v>
      </c>
      <c r="D50" s="12" t="s">
        <v>713</v>
      </c>
      <c r="E50" s="12" t="s">
        <v>714</v>
      </c>
      <c r="F50" s="12">
        <v>5</v>
      </c>
      <c r="G50" s="12">
        <v>6</v>
      </c>
      <c r="H50" s="12">
        <v>83.3</v>
      </c>
      <c r="I50" s="12" t="s">
        <v>363</v>
      </c>
      <c r="J50" s="12" t="s">
        <v>373</v>
      </c>
      <c r="K50" s="12" t="s">
        <v>374</v>
      </c>
      <c r="L50" s="13"/>
      <c r="M50" s="13"/>
      <c r="N50" s="14" t="str">
        <f>IF(M50=0,"",L50/M50*100)</f>
        <v/>
      </c>
      <c r="O50" s="12"/>
      <c r="P50" s="12"/>
    </row>
    <row r="51" spans="1:16" ht="27.75" customHeight="1" x14ac:dyDescent="0.3">
      <c r="A51" s="12" t="s">
        <v>715</v>
      </c>
      <c r="B51" s="12" t="s">
        <v>707</v>
      </c>
      <c r="C51" s="12" t="s">
        <v>716</v>
      </c>
      <c r="D51" s="12" t="s">
        <v>717</v>
      </c>
      <c r="E51" s="12" t="s">
        <v>718</v>
      </c>
      <c r="F51" s="12">
        <v>3510</v>
      </c>
      <c r="G51" s="12">
        <v>45</v>
      </c>
      <c r="H51" s="12">
        <v>78</v>
      </c>
      <c r="I51" s="12" t="s">
        <v>363</v>
      </c>
      <c r="J51" s="12" t="s">
        <v>610</v>
      </c>
      <c r="K51" s="12" t="s">
        <v>374</v>
      </c>
      <c r="L51" s="13"/>
      <c r="M51" s="13"/>
      <c r="N51" s="14" t="str">
        <f>IF(M51=0,"",L51/M51*100)</f>
        <v/>
      </c>
      <c r="O51" s="12"/>
      <c r="P51" s="12"/>
    </row>
    <row r="52" spans="1:16" ht="27.75" customHeight="1" x14ac:dyDescent="0.3">
      <c r="A52" s="12" t="s">
        <v>719</v>
      </c>
      <c r="B52" s="12" t="s">
        <v>707</v>
      </c>
      <c r="C52" s="12" t="s">
        <v>720</v>
      </c>
      <c r="D52" s="12" t="s">
        <v>721</v>
      </c>
      <c r="E52" s="12" t="s">
        <v>722</v>
      </c>
      <c r="F52" s="12">
        <v>36</v>
      </c>
      <c r="G52" s="12">
        <v>45</v>
      </c>
      <c r="H52" s="12">
        <v>80</v>
      </c>
      <c r="I52" s="12" t="s">
        <v>363</v>
      </c>
      <c r="J52" s="12" t="s">
        <v>641</v>
      </c>
      <c r="K52" s="12" t="s">
        <v>557</v>
      </c>
      <c r="L52" s="13"/>
      <c r="M52" s="13"/>
      <c r="N52" s="14" t="str">
        <f>IF(M52=0,"",L52/M52*100)</f>
        <v/>
      </c>
      <c r="O52" s="12"/>
      <c r="P52" s="12"/>
    </row>
    <row r="53" spans="1:16" ht="15" customHeight="1" x14ac:dyDescent="0.3">
      <c r="A53" s="1" t="s">
        <v>723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customHeight="1" x14ac:dyDescent="0.3">
      <c r="A54" s="12" t="s">
        <v>724</v>
      </c>
      <c r="B54" s="12" t="s">
        <v>723</v>
      </c>
      <c r="C54" s="12" t="s">
        <v>725</v>
      </c>
      <c r="D54" s="12" t="s">
        <v>726</v>
      </c>
      <c r="E54" s="12" t="s">
        <v>727</v>
      </c>
      <c r="F54" s="12">
        <v>10</v>
      </c>
      <c r="G54" s="12">
        <v>12</v>
      </c>
      <c r="H54" s="12">
        <v>83.3</v>
      </c>
      <c r="I54" s="12" t="s">
        <v>363</v>
      </c>
      <c r="J54" s="12" t="s">
        <v>373</v>
      </c>
      <c r="K54" s="12" t="s">
        <v>374</v>
      </c>
      <c r="L54" s="13"/>
      <c r="M54" s="13"/>
      <c r="N54" s="14" t="str">
        <f>IF(M54=0,"",L54/M54*100)</f>
        <v/>
      </c>
      <c r="O54" s="12"/>
      <c r="P54" s="12"/>
    </row>
    <row r="55" spans="1:16" ht="27.75" customHeight="1" x14ac:dyDescent="0.3">
      <c r="A55" s="12" t="s">
        <v>728</v>
      </c>
      <c r="B55" s="12" t="s">
        <v>723</v>
      </c>
      <c r="C55" s="12" t="s">
        <v>729</v>
      </c>
      <c r="D55" s="12" t="s">
        <v>730</v>
      </c>
      <c r="E55" s="12" t="s">
        <v>731</v>
      </c>
      <c r="F55" s="12">
        <v>195</v>
      </c>
      <c r="G55" s="12">
        <v>250</v>
      </c>
      <c r="H55" s="12">
        <v>78</v>
      </c>
      <c r="I55" s="12" t="s">
        <v>363</v>
      </c>
      <c r="J55" s="12" t="s">
        <v>610</v>
      </c>
      <c r="K55" s="12" t="s">
        <v>384</v>
      </c>
      <c r="L55" s="13"/>
      <c r="M55" s="13"/>
      <c r="N55" s="14" t="str">
        <f>IF(M55=0,"",L55/M55*100)</f>
        <v/>
      </c>
      <c r="O55" s="12"/>
      <c r="P55" s="12"/>
    </row>
    <row r="56" spans="1:16" ht="15" customHeight="1" x14ac:dyDescent="0.3">
      <c r="A56" s="12" t="s">
        <v>732</v>
      </c>
      <c r="B56" s="12" t="s">
        <v>723</v>
      </c>
      <c r="C56" s="12" t="s">
        <v>733</v>
      </c>
      <c r="D56" s="12" t="s">
        <v>734</v>
      </c>
      <c r="E56" s="12" t="s">
        <v>735</v>
      </c>
      <c r="F56" s="12">
        <v>38</v>
      </c>
      <c r="G56" s="12">
        <v>42</v>
      </c>
      <c r="H56" s="12">
        <v>90.5</v>
      </c>
      <c r="I56" s="12" t="s">
        <v>363</v>
      </c>
      <c r="J56" s="12" t="s">
        <v>373</v>
      </c>
      <c r="K56" s="12" t="s">
        <v>365</v>
      </c>
      <c r="L56" s="13"/>
      <c r="M56" s="13"/>
      <c r="N56" s="14" t="str">
        <f>IF(M56=0,"",L56/M56*100)</f>
        <v/>
      </c>
      <c r="O56" s="12"/>
      <c r="P56" s="12"/>
    </row>
    <row r="57" spans="1:16" ht="27.75" customHeight="1" x14ac:dyDescent="0.3">
      <c r="A57" s="12" t="s">
        <v>736</v>
      </c>
      <c r="B57" s="12" t="s">
        <v>723</v>
      </c>
      <c r="C57" s="12" t="s">
        <v>737</v>
      </c>
      <c r="D57" s="12" t="s">
        <v>738</v>
      </c>
      <c r="E57" s="12" t="s">
        <v>739</v>
      </c>
      <c r="F57" s="12">
        <v>110</v>
      </c>
      <c r="G57" s="12">
        <v>180</v>
      </c>
      <c r="H57" s="12">
        <v>61.1</v>
      </c>
      <c r="I57" s="12" t="s">
        <v>363</v>
      </c>
      <c r="J57" s="12" t="s">
        <v>740</v>
      </c>
      <c r="K57" s="12" t="s">
        <v>557</v>
      </c>
      <c r="L57" s="13"/>
      <c r="M57" s="13"/>
      <c r="N57" s="14" t="str">
        <f>IF(M57=0,"",L57/M57*100)</f>
        <v/>
      </c>
      <c r="O57" s="12"/>
      <c r="P57" s="12"/>
    </row>
    <row r="58" spans="1:16" ht="15" customHeight="1" x14ac:dyDescent="0.3">
      <c r="A58" s="1" t="s">
        <v>741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7.75" customHeight="1" x14ac:dyDescent="0.3">
      <c r="A59" s="12" t="s">
        <v>742</v>
      </c>
      <c r="B59" s="12" t="s">
        <v>741</v>
      </c>
      <c r="C59" s="12" t="s">
        <v>743</v>
      </c>
      <c r="D59" s="12" t="s">
        <v>744</v>
      </c>
      <c r="E59" s="12" t="s">
        <v>745</v>
      </c>
      <c r="F59" s="12">
        <v>90</v>
      </c>
      <c r="G59" s="12">
        <v>95</v>
      </c>
      <c r="H59" s="12">
        <v>94.7</v>
      </c>
      <c r="I59" s="12" t="s">
        <v>363</v>
      </c>
      <c r="J59" s="12" t="s">
        <v>373</v>
      </c>
      <c r="K59" s="12" t="s">
        <v>384</v>
      </c>
      <c r="L59" s="13"/>
      <c r="M59" s="13"/>
      <c r="N59" s="14" t="str">
        <f t="shared" ref="N59:N65" si="3">IF(M59=0,"",L59/M59*100)</f>
        <v/>
      </c>
      <c r="O59" s="12"/>
      <c r="P59" s="12"/>
    </row>
    <row r="60" spans="1:16" ht="27.75" customHeight="1" x14ac:dyDescent="0.3">
      <c r="A60" s="12" t="s">
        <v>746</v>
      </c>
      <c r="B60" s="12" t="s">
        <v>741</v>
      </c>
      <c r="C60" s="12" t="s">
        <v>747</v>
      </c>
      <c r="D60" s="12" t="s">
        <v>748</v>
      </c>
      <c r="E60" s="12" t="s">
        <v>749</v>
      </c>
      <c r="F60" s="12">
        <v>716.8</v>
      </c>
      <c r="G60" s="12">
        <v>720</v>
      </c>
      <c r="H60" s="12">
        <v>99.56</v>
      </c>
      <c r="I60" s="12" t="s">
        <v>363</v>
      </c>
      <c r="J60" s="12" t="s">
        <v>750</v>
      </c>
      <c r="K60" s="12" t="s">
        <v>365</v>
      </c>
      <c r="L60" s="13"/>
      <c r="M60" s="13"/>
      <c r="N60" s="14" t="str">
        <f t="shared" si="3"/>
        <v/>
      </c>
      <c r="O60" s="12"/>
      <c r="P60" s="12"/>
    </row>
    <row r="61" spans="1:16" ht="27.75" customHeight="1" x14ac:dyDescent="0.3">
      <c r="A61" s="12" t="s">
        <v>751</v>
      </c>
      <c r="B61" s="12" t="s">
        <v>741</v>
      </c>
      <c r="C61" s="12" t="s">
        <v>752</v>
      </c>
      <c r="D61" s="12" t="s">
        <v>753</v>
      </c>
      <c r="E61" s="12" t="s">
        <v>754</v>
      </c>
      <c r="F61" s="12">
        <v>16</v>
      </c>
      <c r="G61" s="12">
        <v>18</v>
      </c>
      <c r="H61" s="12">
        <v>88.9</v>
      </c>
      <c r="I61" s="12" t="s">
        <v>363</v>
      </c>
      <c r="J61" s="12" t="s">
        <v>373</v>
      </c>
      <c r="K61" s="12" t="s">
        <v>365</v>
      </c>
      <c r="L61" s="13"/>
      <c r="M61" s="13"/>
      <c r="N61" s="14" t="str">
        <f t="shared" si="3"/>
        <v/>
      </c>
      <c r="O61" s="12"/>
      <c r="P61" s="12"/>
    </row>
    <row r="62" spans="1:16" ht="27.75" customHeight="1" x14ac:dyDescent="0.3">
      <c r="A62" s="12" t="s">
        <v>755</v>
      </c>
      <c r="B62" s="12" t="s">
        <v>741</v>
      </c>
      <c r="C62" s="12" t="s">
        <v>756</v>
      </c>
      <c r="D62" s="12" t="s">
        <v>757</v>
      </c>
      <c r="E62" s="12" t="s">
        <v>758</v>
      </c>
      <c r="F62" s="12">
        <v>17</v>
      </c>
      <c r="G62" s="12">
        <v>20</v>
      </c>
      <c r="H62" s="12">
        <v>85</v>
      </c>
      <c r="I62" s="12" t="s">
        <v>363</v>
      </c>
      <c r="J62" s="12" t="s">
        <v>641</v>
      </c>
      <c r="K62" s="12" t="s">
        <v>365</v>
      </c>
      <c r="L62" s="13"/>
      <c r="M62" s="13"/>
      <c r="N62" s="14" t="str">
        <f t="shared" si="3"/>
        <v/>
      </c>
      <c r="O62" s="12"/>
      <c r="P62" s="12"/>
    </row>
    <row r="63" spans="1:16" ht="27.75" customHeight="1" x14ac:dyDescent="0.3">
      <c r="A63" s="12" t="s">
        <v>759</v>
      </c>
      <c r="B63" s="12" t="s">
        <v>741</v>
      </c>
      <c r="C63" s="12" t="s">
        <v>760</v>
      </c>
      <c r="D63" s="12" t="s">
        <v>761</v>
      </c>
      <c r="E63" s="12" t="s">
        <v>762</v>
      </c>
      <c r="F63" s="12">
        <v>504</v>
      </c>
      <c r="G63" s="12">
        <v>12</v>
      </c>
      <c r="H63" s="12">
        <v>42</v>
      </c>
      <c r="I63" s="12" t="s">
        <v>378</v>
      </c>
      <c r="J63" s="12" t="s">
        <v>763</v>
      </c>
      <c r="K63" s="12" t="s">
        <v>365</v>
      </c>
      <c r="L63" s="13"/>
      <c r="M63" s="13"/>
      <c r="N63" s="14" t="str">
        <f t="shared" si="3"/>
        <v/>
      </c>
      <c r="O63" s="12"/>
      <c r="P63" s="12"/>
    </row>
    <row r="64" spans="1:16" ht="27.75" customHeight="1" x14ac:dyDescent="0.3">
      <c r="A64" s="12" t="s">
        <v>764</v>
      </c>
      <c r="B64" s="12" t="s">
        <v>741</v>
      </c>
      <c r="C64" s="12" t="s">
        <v>765</v>
      </c>
      <c r="D64" s="12" t="s">
        <v>766</v>
      </c>
      <c r="E64" s="12" t="s">
        <v>562</v>
      </c>
      <c r="F64" s="12">
        <v>108</v>
      </c>
      <c r="G64" s="12">
        <v>120</v>
      </c>
      <c r="H64" s="12">
        <v>90</v>
      </c>
      <c r="I64" s="12" t="s">
        <v>363</v>
      </c>
      <c r="J64" s="12" t="s">
        <v>547</v>
      </c>
      <c r="K64" s="12" t="s">
        <v>365</v>
      </c>
      <c r="L64" s="13"/>
      <c r="M64" s="13"/>
      <c r="N64" s="14" t="str">
        <f t="shared" si="3"/>
        <v/>
      </c>
      <c r="O64" s="12"/>
      <c r="P64" s="12"/>
    </row>
    <row r="65" spans="1:16" ht="27.75" customHeight="1" x14ac:dyDescent="0.3">
      <c r="A65" s="12" t="s">
        <v>767</v>
      </c>
      <c r="B65" s="12" t="s">
        <v>741</v>
      </c>
      <c r="C65" s="12" t="s">
        <v>768</v>
      </c>
      <c r="D65" s="12" t="s">
        <v>769</v>
      </c>
      <c r="E65" s="12" t="s">
        <v>770</v>
      </c>
      <c r="F65" s="12">
        <v>68</v>
      </c>
      <c r="G65" s="12">
        <v>78</v>
      </c>
      <c r="H65" s="12">
        <v>87.2</v>
      </c>
      <c r="I65" s="12" t="s">
        <v>363</v>
      </c>
      <c r="J65" s="12" t="s">
        <v>641</v>
      </c>
      <c r="K65" s="12" t="s">
        <v>374</v>
      </c>
      <c r="L65" s="13"/>
      <c r="M65" s="13"/>
      <c r="N65" s="14" t="str">
        <f t="shared" si="3"/>
        <v/>
      </c>
      <c r="O65" s="12"/>
      <c r="P65" s="12"/>
    </row>
  </sheetData>
  <mergeCells count="10">
    <mergeCell ref="A35:P35"/>
    <mergeCell ref="A42:P42"/>
    <mergeCell ref="A48:P48"/>
    <mergeCell ref="A53:P53"/>
    <mergeCell ref="A58:P58"/>
    <mergeCell ref="A2:P2"/>
    <mergeCell ref="A8:P8"/>
    <mergeCell ref="A15:P15"/>
    <mergeCell ref="A21:P21"/>
    <mergeCell ref="A26:P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65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ColWidth="8.6640625" defaultRowHeight="14.4" x14ac:dyDescent="0.3"/>
  <cols>
    <col min="1" max="1" width="8" customWidth="1"/>
    <col min="2" max="2" width="28" customWidth="1"/>
    <col min="3" max="3" width="20" customWidth="1"/>
    <col min="4" max="4" width="6" customWidth="1"/>
    <col min="5" max="5" width="10" customWidth="1"/>
    <col min="6" max="6" width="12" customWidth="1"/>
    <col min="7" max="19" width="8" customWidth="1"/>
  </cols>
  <sheetData>
    <row r="1" spans="1:19" ht="23.25" customHeight="1" x14ac:dyDescent="0.3">
      <c r="A1" s="3" t="s">
        <v>343</v>
      </c>
      <c r="B1" s="3" t="s">
        <v>344</v>
      </c>
      <c r="C1" s="3" t="s">
        <v>524</v>
      </c>
      <c r="D1" s="3" t="s">
        <v>345</v>
      </c>
      <c r="E1" s="3" t="s">
        <v>346</v>
      </c>
      <c r="F1" s="3" t="s">
        <v>771</v>
      </c>
      <c r="G1" s="3" t="s">
        <v>349</v>
      </c>
      <c r="H1" s="3" t="s">
        <v>350</v>
      </c>
      <c r="I1" s="3" t="s">
        <v>351</v>
      </c>
      <c r="J1" s="3" t="s">
        <v>352</v>
      </c>
      <c r="K1" s="3" t="s">
        <v>353</v>
      </c>
      <c r="L1" s="3" t="s">
        <v>354</v>
      </c>
      <c r="M1" s="3" t="s">
        <v>355</v>
      </c>
      <c r="N1" s="3" t="s">
        <v>356</v>
      </c>
      <c r="O1" s="3" t="s">
        <v>357</v>
      </c>
      <c r="P1" s="3" t="s">
        <v>358</v>
      </c>
      <c r="Q1" s="3" t="s">
        <v>359</v>
      </c>
      <c r="R1" s="3" t="s">
        <v>360</v>
      </c>
      <c r="S1" s="3" t="s">
        <v>772</v>
      </c>
    </row>
    <row r="2" spans="1:19" ht="15" customHeight="1" x14ac:dyDescent="0.3">
      <c r="A2" s="1" t="s">
        <v>534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 customHeight="1" x14ac:dyDescent="0.3">
      <c r="A3" s="12" t="s">
        <v>535</v>
      </c>
      <c r="B3" s="12" t="s">
        <v>536</v>
      </c>
      <c r="C3" s="12" t="s">
        <v>534</v>
      </c>
      <c r="D3" s="12" t="s">
        <v>363</v>
      </c>
      <c r="E3" s="12" t="s">
        <v>373</v>
      </c>
      <c r="F3" s="12" t="s">
        <v>374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 t="str">
        <f>IF(COUNT(G3:R3)=0,"",AVERAGE(G3:R3))</f>
        <v/>
      </c>
    </row>
    <row r="4" spans="1:19" ht="27.75" customHeight="1" x14ac:dyDescent="0.3">
      <c r="A4" s="12" t="s">
        <v>539</v>
      </c>
      <c r="B4" s="12" t="s">
        <v>540</v>
      </c>
      <c r="C4" s="12" t="s">
        <v>534</v>
      </c>
      <c r="D4" s="12" t="s">
        <v>363</v>
      </c>
      <c r="E4" s="12" t="s">
        <v>373</v>
      </c>
      <c r="F4" s="12" t="s">
        <v>374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 t="str">
        <f>IF(COUNT(G4:R4)=0,"",AVERAGE(G4:R4))</f>
        <v/>
      </c>
    </row>
    <row r="5" spans="1:19" ht="15" customHeight="1" x14ac:dyDescent="0.3">
      <c r="A5" s="12" t="s">
        <v>543</v>
      </c>
      <c r="B5" s="12" t="s">
        <v>544</v>
      </c>
      <c r="C5" s="12" t="s">
        <v>534</v>
      </c>
      <c r="D5" s="12" t="s">
        <v>363</v>
      </c>
      <c r="E5" s="12" t="s">
        <v>547</v>
      </c>
      <c r="F5" s="12" t="s">
        <v>374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 t="str">
        <f>IF(COUNT(G5:R5)=0,"",AVERAGE(G5:R5))</f>
        <v/>
      </c>
    </row>
    <row r="6" spans="1:19" ht="15" customHeight="1" x14ac:dyDescent="0.3">
      <c r="A6" s="12" t="s">
        <v>548</v>
      </c>
      <c r="B6" s="12" t="s">
        <v>549</v>
      </c>
      <c r="C6" s="12" t="s">
        <v>534</v>
      </c>
      <c r="D6" s="12" t="s">
        <v>363</v>
      </c>
      <c r="E6" s="12" t="s">
        <v>552</v>
      </c>
      <c r="F6" s="12" t="s">
        <v>384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4" t="str">
        <f>IF(COUNT(G6:R6)=0,"",AVERAGE(G6:R6))</f>
        <v/>
      </c>
    </row>
    <row r="7" spans="1:19" ht="27.75" customHeight="1" x14ac:dyDescent="0.3">
      <c r="A7" s="12" t="s">
        <v>553</v>
      </c>
      <c r="B7" s="12" t="s">
        <v>554</v>
      </c>
      <c r="C7" s="12" t="s">
        <v>534</v>
      </c>
      <c r="D7" s="12" t="s">
        <v>363</v>
      </c>
      <c r="E7" s="12" t="s">
        <v>373</v>
      </c>
      <c r="F7" s="12" t="s">
        <v>557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 t="str">
        <f>IF(COUNT(G7:R7)=0,"",AVERAGE(G7:R7))</f>
        <v/>
      </c>
    </row>
    <row r="8" spans="1:19" ht="15" customHeight="1" x14ac:dyDescent="0.3">
      <c r="A8" s="1" t="s">
        <v>558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" customHeight="1" x14ac:dyDescent="0.3">
      <c r="A9" s="12" t="s">
        <v>559</v>
      </c>
      <c r="B9" s="12" t="s">
        <v>560</v>
      </c>
      <c r="C9" s="12" t="s">
        <v>558</v>
      </c>
      <c r="D9" s="12" t="s">
        <v>363</v>
      </c>
      <c r="E9" s="12" t="s">
        <v>373</v>
      </c>
      <c r="F9" s="12" t="s">
        <v>374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 t="str">
        <f t="shared" ref="S9:S14" si="0">IF(COUNT(G9:R9)=0,"",AVERAGE(G9:R9))</f>
        <v/>
      </c>
    </row>
    <row r="10" spans="1:19" ht="15" customHeight="1" x14ac:dyDescent="0.3">
      <c r="A10" s="12" t="s">
        <v>563</v>
      </c>
      <c r="B10" s="12" t="s">
        <v>564</v>
      </c>
      <c r="C10" s="12" t="s">
        <v>558</v>
      </c>
      <c r="D10" s="12" t="s">
        <v>363</v>
      </c>
      <c r="E10" s="12" t="s">
        <v>373</v>
      </c>
      <c r="F10" s="12" t="s">
        <v>374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4" t="str">
        <f t="shared" si="0"/>
        <v/>
      </c>
    </row>
    <row r="11" spans="1:19" ht="15" customHeight="1" x14ac:dyDescent="0.3">
      <c r="A11" s="12" t="s">
        <v>567</v>
      </c>
      <c r="B11" s="12" t="s">
        <v>568</v>
      </c>
      <c r="C11" s="12" t="s">
        <v>558</v>
      </c>
      <c r="D11" s="12" t="s">
        <v>363</v>
      </c>
      <c r="E11" s="12" t="s">
        <v>373</v>
      </c>
      <c r="F11" s="12" t="s">
        <v>374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 t="str">
        <f t="shared" si="0"/>
        <v/>
      </c>
    </row>
    <row r="12" spans="1:19" ht="15" customHeight="1" x14ac:dyDescent="0.3">
      <c r="A12" s="12" t="s">
        <v>571</v>
      </c>
      <c r="B12" s="12" t="s">
        <v>572</v>
      </c>
      <c r="C12" s="12" t="s">
        <v>558</v>
      </c>
      <c r="D12" s="12" t="s">
        <v>363</v>
      </c>
      <c r="E12" s="12" t="s">
        <v>575</v>
      </c>
      <c r="F12" s="12" t="s">
        <v>384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 t="str">
        <f t="shared" si="0"/>
        <v/>
      </c>
    </row>
    <row r="13" spans="1:19" ht="15" customHeight="1" x14ac:dyDescent="0.3">
      <c r="A13" s="12" t="s">
        <v>576</v>
      </c>
      <c r="B13" s="12" t="s">
        <v>577</v>
      </c>
      <c r="C13" s="12" t="s">
        <v>558</v>
      </c>
      <c r="D13" s="12" t="s">
        <v>363</v>
      </c>
      <c r="E13" s="12" t="s">
        <v>373</v>
      </c>
      <c r="F13" s="12" t="s">
        <v>374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 t="str">
        <f t="shared" si="0"/>
        <v/>
      </c>
    </row>
    <row r="14" spans="1:19" ht="15" customHeight="1" x14ac:dyDescent="0.3">
      <c r="A14" s="12" t="s">
        <v>580</v>
      </c>
      <c r="B14" s="12" t="s">
        <v>581</v>
      </c>
      <c r="C14" s="12" t="s">
        <v>558</v>
      </c>
      <c r="D14" s="12" t="s">
        <v>363</v>
      </c>
      <c r="E14" s="12" t="s">
        <v>373</v>
      </c>
      <c r="F14" s="12" t="s">
        <v>374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 t="str">
        <f t="shared" si="0"/>
        <v/>
      </c>
    </row>
    <row r="15" spans="1:19" ht="15" customHeight="1" x14ac:dyDescent="0.3">
      <c r="A15" s="1" t="s">
        <v>584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7.75" customHeight="1" x14ac:dyDescent="0.3">
      <c r="A16" s="12" t="s">
        <v>585</v>
      </c>
      <c r="B16" s="12" t="s">
        <v>586</v>
      </c>
      <c r="C16" s="12" t="s">
        <v>584</v>
      </c>
      <c r="D16" s="12" t="s">
        <v>363</v>
      </c>
      <c r="E16" s="12" t="s">
        <v>373</v>
      </c>
      <c r="F16" s="12" t="s">
        <v>374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 t="str">
        <f>IF(COUNT(G16:R16)=0,"",AVERAGE(G16:R16))</f>
        <v/>
      </c>
    </row>
    <row r="17" spans="1:19" ht="27.75" customHeight="1" x14ac:dyDescent="0.3">
      <c r="A17" s="12" t="s">
        <v>589</v>
      </c>
      <c r="B17" s="12" t="s">
        <v>590</v>
      </c>
      <c r="C17" s="12" t="s">
        <v>584</v>
      </c>
      <c r="D17" s="12" t="s">
        <v>363</v>
      </c>
      <c r="E17" s="12" t="s">
        <v>373</v>
      </c>
      <c r="F17" s="12" t="s">
        <v>374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 t="str">
        <f>IF(COUNT(G17:R17)=0,"",AVERAGE(G17:R17))</f>
        <v/>
      </c>
    </row>
    <row r="18" spans="1:19" ht="27.75" customHeight="1" x14ac:dyDescent="0.3">
      <c r="A18" s="12" t="s">
        <v>593</v>
      </c>
      <c r="B18" s="12" t="s">
        <v>594</v>
      </c>
      <c r="C18" s="12" t="s">
        <v>584</v>
      </c>
      <c r="D18" s="12" t="s">
        <v>363</v>
      </c>
      <c r="E18" s="12" t="s">
        <v>373</v>
      </c>
      <c r="F18" s="12" t="s">
        <v>557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 t="str">
        <f>IF(COUNT(G18:R18)=0,"",AVERAGE(G18:R18))</f>
        <v/>
      </c>
    </row>
    <row r="19" spans="1:19" ht="27.75" customHeight="1" x14ac:dyDescent="0.3">
      <c r="A19" s="12" t="s">
        <v>597</v>
      </c>
      <c r="B19" s="12" t="s">
        <v>598</v>
      </c>
      <c r="C19" s="12" t="s">
        <v>584</v>
      </c>
      <c r="D19" s="12" t="s">
        <v>363</v>
      </c>
      <c r="E19" s="12" t="s">
        <v>547</v>
      </c>
      <c r="F19" s="12" t="s">
        <v>374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 t="str">
        <f>IF(COUNT(G19:R19)=0,"",AVERAGE(G19:R19))</f>
        <v/>
      </c>
    </row>
    <row r="20" spans="1:19" ht="27.75" customHeight="1" x14ac:dyDescent="0.3">
      <c r="A20" s="12" t="s">
        <v>601</v>
      </c>
      <c r="B20" s="12" t="s">
        <v>602</v>
      </c>
      <c r="C20" s="12" t="s">
        <v>584</v>
      </c>
      <c r="D20" s="12" t="s">
        <v>363</v>
      </c>
      <c r="E20" s="12" t="s">
        <v>373</v>
      </c>
      <c r="F20" s="12" t="s">
        <v>374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 t="str">
        <f>IF(COUNT(G20:R20)=0,"",AVERAGE(G20:R20))</f>
        <v/>
      </c>
    </row>
    <row r="21" spans="1:19" ht="15" customHeight="1" x14ac:dyDescent="0.3">
      <c r="A21" s="1" t="s">
        <v>605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7.75" customHeight="1" x14ac:dyDescent="0.3">
      <c r="A22" s="12" t="s">
        <v>606</v>
      </c>
      <c r="B22" s="12" t="s">
        <v>607</v>
      </c>
      <c r="C22" s="12" t="s">
        <v>605</v>
      </c>
      <c r="D22" s="12" t="s">
        <v>363</v>
      </c>
      <c r="E22" s="12" t="s">
        <v>610</v>
      </c>
      <c r="F22" s="12" t="s">
        <v>384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tr">
        <f>IF(COUNT(G22:R22)=0,"",AVERAGE(G22:R22))</f>
        <v/>
      </c>
    </row>
    <row r="23" spans="1:19" ht="27.75" customHeight="1" x14ac:dyDescent="0.3">
      <c r="A23" s="12" t="s">
        <v>611</v>
      </c>
      <c r="B23" s="12" t="s">
        <v>612</v>
      </c>
      <c r="C23" s="12" t="s">
        <v>605</v>
      </c>
      <c r="D23" s="12" t="s">
        <v>363</v>
      </c>
      <c r="E23" s="12" t="s">
        <v>547</v>
      </c>
      <c r="F23" s="12" t="s">
        <v>384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 t="str">
        <f>IF(COUNT(G23:R23)=0,"",AVERAGE(G23:R23))</f>
        <v/>
      </c>
    </row>
    <row r="24" spans="1:19" ht="27.75" customHeight="1" x14ac:dyDescent="0.3">
      <c r="A24" s="12" t="s">
        <v>615</v>
      </c>
      <c r="B24" s="12" t="s">
        <v>616</v>
      </c>
      <c r="C24" s="12" t="s">
        <v>605</v>
      </c>
      <c r="D24" s="12" t="s">
        <v>363</v>
      </c>
      <c r="E24" s="12" t="s">
        <v>619</v>
      </c>
      <c r="F24" s="12" t="s">
        <v>384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4" t="str">
        <f>IF(COUNT(G24:R24)=0,"",AVERAGE(G24:R24))</f>
        <v/>
      </c>
    </row>
    <row r="25" spans="1:19" ht="27.75" customHeight="1" x14ac:dyDescent="0.3">
      <c r="A25" s="12" t="s">
        <v>620</v>
      </c>
      <c r="B25" s="12" t="s">
        <v>621</v>
      </c>
      <c r="C25" s="12" t="s">
        <v>605</v>
      </c>
      <c r="D25" s="12" t="s">
        <v>363</v>
      </c>
      <c r="E25" s="12" t="s">
        <v>624</v>
      </c>
      <c r="F25" s="12" t="s">
        <v>557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4" t="str">
        <f>IF(COUNT(G25:R25)=0,"",AVERAGE(G25:R25))</f>
        <v/>
      </c>
    </row>
    <row r="26" spans="1:19" ht="15" customHeight="1" x14ac:dyDescent="0.3">
      <c r="A26" s="1" t="s">
        <v>625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" customHeight="1" x14ac:dyDescent="0.3">
      <c r="A27" s="12" t="s">
        <v>626</v>
      </c>
      <c r="B27" s="12" t="s">
        <v>627</v>
      </c>
      <c r="C27" s="12" t="s">
        <v>625</v>
      </c>
      <c r="D27" s="12" t="s">
        <v>363</v>
      </c>
      <c r="E27" s="12" t="s">
        <v>575</v>
      </c>
      <c r="F27" s="12" t="s">
        <v>365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 t="str">
        <f t="shared" ref="S27:S34" si="1">IF(COUNT(G27:R27)=0,"",AVERAGE(G27:R27))</f>
        <v/>
      </c>
    </row>
    <row r="28" spans="1:19" ht="15" customHeight="1" x14ac:dyDescent="0.3">
      <c r="A28" s="12" t="s">
        <v>629</v>
      </c>
      <c r="B28" s="12" t="s">
        <v>630</v>
      </c>
      <c r="C28" s="12" t="s">
        <v>625</v>
      </c>
      <c r="D28" s="12" t="s">
        <v>363</v>
      </c>
      <c r="E28" s="12" t="s">
        <v>575</v>
      </c>
      <c r="F28" s="12" t="s">
        <v>365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 t="str">
        <f t="shared" si="1"/>
        <v/>
      </c>
    </row>
    <row r="29" spans="1:19" ht="15" customHeight="1" x14ac:dyDescent="0.3">
      <c r="A29" s="12" t="s">
        <v>633</v>
      </c>
      <c r="B29" s="12" t="s">
        <v>634</v>
      </c>
      <c r="C29" s="12" t="s">
        <v>625</v>
      </c>
      <c r="D29" s="12" t="s">
        <v>363</v>
      </c>
      <c r="E29" s="12" t="s">
        <v>547</v>
      </c>
      <c r="F29" s="12" t="s">
        <v>365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4" t="str">
        <f t="shared" si="1"/>
        <v/>
      </c>
    </row>
    <row r="30" spans="1:19" ht="27.75" customHeight="1" x14ac:dyDescent="0.3">
      <c r="A30" s="12" t="s">
        <v>637</v>
      </c>
      <c r="B30" s="12" t="s">
        <v>638</v>
      </c>
      <c r="C30" s="12" t="s">
        <v>625</v>
      </c>
      <c r="D30" s="12" t="s">
        <v>363</v>
      </c>
      <c r="E30" s="12" t="s">
        <v>641</v>
      </c>
      <c r="F30" s="12" t="s">
        <v>365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4" t="str">
        <f t="shared" si="1"/>
        <v/>
      </c>
    </row>
    <row r="31" spans="1:19" ht="15" customHeight="1" x14ac:dyDescent="0.3">
      <c r="A31" s="12" t="s">
        <v>642</v>
      </c>
      <c r="B31" s="12" t="s">
        <v>643</v>
      </c>
      <c r="C31" s="12" t="s">
        <v>625</v>
      </c>
      <c r="D31" s="12" t="s">
        <v>646</v>
      </c>
      <c r="E31" s="12" t="s">
        <v>647</v>
      </c>
      <c r="F31" s="12" t="s">
        <v>365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4" t="str">
        <f t="shared" si="1"/>
        <v/>
      </c>
    </row>
    <row r="32" spans="1:19" ht="15" customHeight="1" x14ac:dyDescent="0.3">
      <c r="A32" s="12" t="s">
        <v>648</v>
      </c>
      <c r="B32" s="12" t="s">
        <v>649</v>
      </c>
      <c r="C32" s="12" t="s">
        <v>625</v>
      </c>
      <c r="D32" s="12" t="s">
        <v>378</v>
      </c>
      <c r="E32" s="12" t="s">
        <v>652</v>
      </c>
      <c r="F32" s="12" t="s">
        <v>365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4" t="str">
        <f t="shared" si="1"/>
        <v/>
      </c>
    </row>
    <row r="33" spans="1:19" ht="15" customHeight="1" x14ac:dyDescent="0.3">
      <c r="A33" s="12" t="s">
        <v>653</v>
      </c>
      <c r="B33" s="12" t="s">
        <v>654</v>
      </c>
      <c r="C33" s="12" t="s">
        <v>625</v>
      </c>
      <c r="D33" s="12" t="s">
        <v>363</v>
      </c>
      <c r="E33" s="12" t="s">
        <v>641</v>
      </c>
      <c r="F33" s="12" t="s">
        <v>365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 t="str">
        <f t="shared" si="1"/>
        <v/>
      </c>
    </row>
    <row r="34" spans="1:19" ht="15" customHeight="1" x14ac:dyDescent="0.3">
      <c r="A34" s="12" t="s">
        <v>656</v>
      </c>
      <c r="B34" s="12" t="s">
        <v>657</v>
      </c>
      <c r="C34" s="12" t="s">
        <v>625</v>
      </c>
      <c r="D34" s="12" t="s">
        <v>363</v>
      </c>
      <c r="E34" s="12" t="s">
        <v>373</v>
      </c>
      <c r="F34" s="12" t="s">
        <v>365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 t="str">
        <f t="shared" si="1"/>
        <v/>
      </c>
    </row>
    <row r="35" spans="1:19" ht="15" customHeight="1" x14ac:dyDescent="0.3">
      <c r="A35" s="1" t="s">
        <v>660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7.75" customHeight="1" x14ac:dyDescent="0.3">
      <c r="A36" s="12" t="s">
        <v>661</v>
      </c>
      <c r="B36" s="12" t="s">
        <v>662</v>
      </c>
      <c r="C36" s="12" t="s">
        <v>660</v>
      </c>
      <c r="D36" s="12" t="s">
        <v>646</v>
      </c>
      <c r="E36" s="12" t="s">
        <v>665</v>
      </c>
      <c r="F36" s="12" t="s">
        <v>384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4" t="str">
        <f t="shared" ref="S36:S41" si="2">IF(COUNT(G36:R36)=0,"",AVERAGE(G36:R36))</f>
        <v/>
      </c>
    </row>
    <row r="37" spans="1:19" ht="27.75" customHeight="1" x14ac:dyDescent="0.3">
      <c r="A37" s="12" t="s">
        <v>666</v>
      </c>
      <c r="B37" s="12" t="s">
        <v>667</v>
      </c>
      <c r="C37" s="12" t="s">
        <v>660</v>
      </c>
      <c r="D37" s="12" t="s">
        <v>646</v>
      </c>
      <c r="E37" s="12" t="s">
        <v>670</v>
      </c>
      <c r="F37" s="12" t="s">
        <v>384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 t="str">
        <f t="shared" si="2"/>
        <v/>
      </c>
    </row>
    <row r="38" spans="1:19" ht="27.75" customHeight="1" x14ac:dyDescent="0.3">
      <c r="A38" s="12" t="s">
        <v>671</v>
      </c>
      <c r="B38" s="12" t="s">
        <v>672</v>
      </c>
      <c r="C38" s="12" t="s">
        <v>660</v>
      </c>
      <c r="D38" s="12" t="s">
        <v>646</v>
      </c>
      <c r="E38" s="12" t="s">
        <v>674</v>
      </c>
      <c r="F38" s="12" t="s">
        <v>384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4" t="str">
        <f t="shared" si="2"/>
        <v/>
      </c>
    </row>
    <row r="39" spans="1:19" ht="27.75" customHeight="1" x14ac:dyDescent="0.3">
      <c r="A39" s="12" t="s">
        <v>675</v>
      </c>
      <c r="B39" s="12" t="s">
        <v>676</v>
      </c>
      <c r="C39" s="12" t="s">
        <v>660</v>
      </c>
      <c r="D39" s="12" t="s">
        <v>363</v>
      </c>
      <c r="E39" s="12" t="s">
        <v>373</v>
      </c>
      <c r="F39" s="12" t="s">
        <v>557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4" t="str">
        <f t="shared" si="2"/>
        <v/>
      </c>
    </row>
    <row r="40" spans="1:19" ht="27.75" customHeight="1" x14ac:dyDescent="0.3">
      <c r="A40" s="12" t="s">
        <v>679</v>
      </c>
      <c r="B40" s="12" t="s">
        <v>680</v>
      </c>
      <c r="C40" s="12" t="s">
        <v>660</v>
      </c>
      <c r="D40" s="12" t="s">
        <v>363</v>
      </c>
      <c r="E40" s="12" t="s">
        <v>683</v>
      </c>
      <c r="F40" s="12" t="s">
        <v>384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4" t="str">
        <f t="shared" si="2"/>
        <v/>
      </c>
    </row>
    <row r="41" spans="1:19" ht="27.75" customHeight="1" x14ac:dyDescent="0.3">
      <c r="A41" s="12" t="s">
        <v>684</v>
      </c>
      <c r="B41" s="12" t="s">
        <v>685</v>
      </c>
      <c r="C41" s="12" t="s">
        <v>660</v>
      </c>
      <c r="D41" s="12" t="s">
        <v>363</v>
      </c>
      <c r="E41" s="12" t="s">
        <v>547</v>
      </c>
      <c r="F41" s="12" t="s">
        <v>384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4" t="str">
        <f t="shared" si="2"/>
        <v/>
      </c>
    </row>
    <row r="42" spans="1:19" ht="15" customHeight="1" x14ac:dyDescent="0.3">
      <c r="A42" s="1" t="s">
        <v>688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7.75" customHeight="1" x14ac:dyDescent="0.3">
      <c r="A43" s="12" t="s">
        <v>689</v>
      </c>
      <c r="B43" s="12" t="s">
        <v>690</v>
      </c>
      <c r="C43" s="12" t="s">
        <v>688</v>
      </c>
      <c r="D43" s="12" t="s">
        <v>363</v>
      </c>
      <c r="E43" s="12" t="s">
        <v>575</v>
      </c>
      <c r="F43" s="12" t="s">
        <v>384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4" t="str">
        <f>IF(COUNT(G43:R43)=0,"",AVERAGE(G43:R43))</f>
        <v/>
      </c>
    </row>
    <row r="44" spans="1:19" ht="27.75" customHeight="1" x14ac:dyDescent="0.3">
      <c r="A44" s="12" t="s">
        <v>693</v>
      </c>
      <c r="B44" s="12" t="s">
        <v>694</v>
      </c>
      <c r="C44" s="12" t="s">
        <v>688</v>
      </c>
      <c r="D44" s="12" t="s">
        <v>363</v>
      </c>
      <c r="E44" s="12" t="s">
        <v>547</v>
      </c>
      <c r="F44" s="12" t="s">
        <v>384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4" t="str">
        <f>IF(COUNT(G44:R44)=0,"",AVERAGE(G44:R44))</f>
        <v/>
      </c>
    </row>
    <row r="45" spans="1:19" ht="27.75" customHeight="1" x14ac:dyDescent="0.3">
      <c r="A45" s="12" t="s">
        <v>697</v>
      </c>
      <c r="B45" s="12" t="s">
        <v>698</v>
      </c>
      <c r="C45" s="12" t="s">
        <v>688</v>
      </c>
      <c r="D45" s="12" t="s">
        <v>363</v>
      </c>
      <c r="E45" s="12" t="s">
        <v>373</v>
      </c>
      <c r="F45" s="12" t="s">
        <v>374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4" t="str">
        <f>IF(COUNT(G45:R45)=0,"",AVERAGE(G45:R45))</f>
        <v/>
      </c>
    </row>
    <row r="46" spans="1:19" ht="27.75" customHeight="1" x14ac:dyDescent="0.3">
      <c r="A46" s="12" t="s">
        <v>701</v>
      </c>
      <c r="B46" s="12" t="s">
        <v>399</v>
      </c>
      <c r="C46" s="12" t="s">
        <v>688</v>
      </c>
      <c r="D46" s="12" t="s">
        <v>363</v>
      </c>
      <c r="E46" s="12" t="s">
        <v>547</v>
      </c>
      <c r="F46" s="12" t="s">
        <v>365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4" t="str">
        <f>IF(COUNT(G46:R46)=0,"",AVERAGE(G46:R46))</f>
        <v/>
      </c>
    </row>
    <row r="47" spans="1:19" ht="27.75" customHeight="1" x14ac:dyDescent="0.3">
      <c r="A47" s="12" t="s">
        <v>704</v>
      </c>
      <c r="B47" s="12" t="s">
        <v>382</v>
      </c>
      <c r="C47" s="12" t="s">
        <v>688</v>
      </c>
      <c r="D47" s="12" t="s">
        <v>363</v>
      </c>
      <c r="E47" s="12" t="s">
        <v>575</v>
      </c>
      <c r="F47" s="12" t="s">
        <v>384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4" t="str">
        <f>IF(COUNT(G47:R47)=0,"",AVERAGE(G47:R47))</f>
        <v/>
      </c>
    </row>
    <row r="48" spans="1:19" ht="15" customHeight="1" x14ac:dyDescent="0.3">
      <c r="A48" s="1" t="s">
        <v>707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7.75" customHeight="1" x14ac:dyDescent="0.3">
      <c r="A49" s="12" t="s">
        <v>708</v>
      </c>
      <c r="B49" s="12" t="s">
        <v>390</v>
      </c>
      <c r="C49" s="12" t="s">
        <v>707</v>
      </c>
      <c r="D49" s="12" t="s">
        <v>363</v>
      </c>
      <c r="E49" s="12" t="s">
        <v>373</v>
      </c>
      <c r="F49" s="12" t="s">
        <v>374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4" t="str">
        <f>IF(COUNT(G49:R49)=0,"",AVERAGE(G49:R49))</f>
        <v/>
      </c>
    </row>
    <row r="50" spans="1:19" ht="27.75" customHeight="1" x14ac:dyDescent="0.3">
      <c r="A50" s="12" t="s">
        <v>711</v>
      </c>
      <c r="B50" s="12" t="s">
        <v>712</v>
      </c>
      <c r="C50" s="12" t="s">
        <v>707</v>
      </c>
      <c r="D50" s="12" t="s">
        <v>363</v>
      </c>
      <c r="E50" s="12" t="s">
        <v>373</v>
      </c>
      <c r="F50" s="12" t="s">
        <v>374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 t="str">
        <f>IF(COUNT(G50:R50)=0,"",AVERAGE(G50:R50))</f>
        <v/>
      </c>
    </row>
    <row r="51" spans="1:19" ht="27.75" customHeight="1" x14ac:dyDescent="0.3">
      <c r="A51" s="12" t="s">
        <v>715</v>
      </c>
      <c r="B51" s="12" t="s">
        <v>716</v>
      </c>
      <c r="C51" s="12" t="s">
        <v>707</v>
      </c>
      <c r="D51" s="12" t="s">
        <v>363</v>
      </c>
      <c r="E51" s="12" t="s">
        <v>610</v>
      </c>
      <c r="F51" s="12" t="s">
        <v>374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4" t="str">
        <f>IF(COUNT(G51:R51)=0,"",AVERAGE(G51:R51))</f>
        <v/>
      </c>
    </row>
    <row r="52" spans="1:19" ht="27.75" customHeight="1" x14ac:dyDescent="0.3">
      <c r="A52" s="12" t="s">
        <v>719</v>
      </c>
      <c r="B52" s="12" t="s">
        <v>720</v>
      </c>
      <c r="C52" s="12" t="s">
        <v>707</v>
      </c>
      <c r="D52" s="12" t="s">
        <v>363</v>
      </c>
      <c r="E52" s="12" t="s">
        <v>641</v>
      </c>
      <c r="F52" s="12" t="s">
        <v>557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4" t="str">
        <f>IF(COUNT(G52:R52)=0,"",AVERAGE(G52:R52))</f>
        <v/>
      </c>
    </row>
    <row r="53" spans="1:19" ht="15" customHeight="1" x14ac:dyDescent="0.3">
      <c r="A53" s="1" t="s">
        <v>723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" customHeight="1" x14ac:dyDescent="0.3">
      <c r="A54" s="12" t="s">
        <v>724</v>
      </c>
      <c r="B54" s="12" t="s">
        <v>725</v>
      </c>
      <c r="C54" s="12" t="s">
        <v>723</v>
      </c>
      <c r="D54" s="12" t="s">
        <v>363</v>
      </c>
      <c r="E54" s="12" t="s">
        <v>373</v>
      </c>
      <c r="F54" s="12" t="s">
        <v>374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4" t="str">
        <f>IF(COUNT(G54:R54)=0,"",AVERAGE(G54:R54))</f>
        <v/>
      </c>
    </row>
    <row r="55" spans="1:19" ht="27.75" customHeight="1" x14ac:dyDescent="0.3">
      <c r="A55" s="12" t="s">
        <v>728</v>
      </c>
      <c r="B55" s="12" t="s">
        <v>729</v>
      </c>
      <c r="C55" s="12" t="s">
        <v>723</v>
      </c>
      <c r="D55" s="12" t="s">
        <v>363</v>
      </c>
      <c r="E55" s="12" t="s">
        <v>610</v>
      </c>
      <c r="F55" s="12" t="s">
        <v>384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4" t="str">
        <f>IF(COUNT(G55:R55)=0,"",AVERAGE(G55:R55))</f>
        <v/>
      </c>
    </row>
    <row r="56" spans="1:19" ht="15" customHeight="1" x14ac:dyDescent="0.3">
      <c r="A56" s="12" t="s">
        <v>732</v>
      </c>
      <c r="B56" s="12" t="s">
        <v>733</v>
      </c>
      <c r="C56" s="12" t="s">
        <v>723</v>
      </c>
      <c r="D56" s="12" t="s">
        <v>363</v>
      </c>
      <c r="E56" s="12" t="s">
        <v>373</v>
      </c>
      <c r="F56" s="12" t="s">
        <v>365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4" t="str">
        <f>IF(COUNT(G56:R56)=0,"",AVERAGE(G56:R56))</f>
        <v/>
      </c>
    </row>
    <row r="57" spans="1:19" ht="27.75" customHeight="1" x14ac:dyDescent="0.3">
      <c r="A57" s="12" t="s">
        <v>736</v>
      </c>
      <c r="B57" s="12" t="s">
        <v>737</v>
      </c>
      <c r="C57" s="12" t="s">
        <v>723</v>
      </c>
      <c r="D57" s="12" t="s">
        <v>363</v>
      </c>
      <c r="E57" s="12" t="s">
        <v>740</v>
      </c>
      <c r="F57" s="12" t="s">
        <v>557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4" t="str">
        <f>IF(COUNT(G57:R57)=0,"",AVERAGE(G57:R57))</f>
        <v/>
      </c>
    </row>
    <row r="58" spans="1:19" ht="15" customHeight="1" x14ac:dyDescent="0.3">
      <c r="A58" s="1" t="s">
        <v>741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7.75" customHeight="1" x14ac:dyDescent="0.3">
      <c r="A59" s="12" t="s">
        <v>742</v>
      </c>
      <c r="B59" s="12" t="s">
        <v>743</v>
      </c>
      <c r="C59" s="12" t="s">
        <v>741</v>
      </c>
      <c r="D59" s="12" t="s">
        <v>363</v>
      </c>
      <c r="E59" s="12" t="s">
        <v>373</v>
      </c>
      <c r="F59" s="12" t="s">
        <v>384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4" t="str">
        <f t="shared" ref="S59:S65" si="3">IF(COUNT(G59:R59)=0,"",AVERAGE(G59:R59))</f>
        <v/>
      </c>
    </row>
    <row r="60" spans="1:19" ht="27.75" customHeight="1" x14ac:dyDescent="0.3">
      <c r="A60" s="12" t="s">
        <v>746</v>
      </c>
      <c r="B60" s="12" t="s">
        <v>747</v>
      </c>
      <c r="C60" s="12" t="s">
        <v>741</v>
      </c>
      <c r="D60" s="12" t="s">
        <v>363</v>
      </c>
      <c r="E60" s="12" t="s">
        <v>750</v>
      </c>
      <c r="F60" s="12" t="s">
        <v>365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4" t="str">
        <f t="shared" si="3"/>
        <v/>
      </c>
    </row>
    <row r="61" spans="1:19" ht="27.75" customHeight="1" x14ac:dyDescent="0.3">
      <c r="A61" s="12" t="s">
        <v>751</v>
      </c>
      <c r="B61" s="12" t="s">
        <v>752</v>
      </c>
      <c r="C61" s="12" t="s">
        <v>741</v>
      </c>
      <c r="D61" s="12" t="s">
        <v>363</v>
      </c>
      <c r="E61" s="12" t="s">
        <v>373</v>
      </c>
      <c r="F61" s="12" t="s">
        <v>365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4" t="str">
        <f t="shared" si="3"/>
        <v/>
      </c>
    </row>
    <row r="62" spans="1:19" ht="27.75" customHeight="1" x14ac:dyDescent="0.3">
      <c r="A62" s="12" t="s">
        <v>755</v>
      </c>
      <c r="B62" s="12" t="s">
        <v>756</v>
      </c>
      <c r="C62" s="12" t="s">
        <v>741</v>
      </c>
      <c r="D62" s="12" t="s">
        <v>363</v>
      </c>
      <c r="E62" s="12" t="s">
        <v>641</v>
      </c>
      <c r="F62" s="12" t="s">
        <v>365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4" t="str">
        <f t="shared" si="3"/>
        <v/>
      </c>
    </row>
    <row r="63" spans="1:19" ht="27.75" customHeight="1" x14ac:dyDescent="0.3">
      <c r="A63" s="12" t="s">
        <v>759</v>
      </c>
      <c r="B63" s="12" t="s">
        <v>760</v>
      </c>
      <c r="C63" s="12" t="s">
        <v>741</v>
      </c>
      <c r="D63" s="12" t="s">
        <v>378</v>
      </c>
      <c r="E63" s="12" t="s">
        <v>763</v>
      </c>
      <c r="F63" s="12" t="s">
        <v>365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4" t="str">
        <f t="shared" si="3"/>
        <v/>
      </c>
    </row>
    <row r="64" spans="1:19" ht="27.75" customHeight="1" x14ac:dyDescent="0.3">
      <c r="A64" s="12" t="s">
        <v>764</v>
      </c>
      <c r="B64" s="12" t="s">
        <v>765</v>
      </c>
      <c r="C64" s="12" t="s">
        <v>741</v>
      </c>
      <c r="D64" s="12" t="s">
        <v>363</v>
      </c>
      <c r="E64" s="12" t="s">
        <v>547</v>
      </c>
      <c r="F64" s="12" t="s">
        <v>365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4" t="str">
        <f t="shared" si="3"/>
        <v/>
      </c>
    </row>
    <row r="65" spans="1:19" ht="27.75" customHeight="1" x14ac:dyDescent="0.3">
      <c r="A65" s="12" t="s">
        <v>767</v>
      </c>
      <c r="B65" s="12" t="s">
        <v>768</v>
      </c>
      <c r="C65" s="12" t="s">
        <v>741</v>
      </c>
      <c r="D65" s="12" t="s">
        <v>363</v>
      </c>
      <c r="E65" s="12" t="s">
        <v>641</v>
      </c>
      <c r="F65" s="12" t="s">
        <v>374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4" t="str">
        <f t="shared" si="3"/>
        <v/>
      </c>
    </row>
  </sheetData>
  <mergeCells count="10">
    <mergeCell ref="A35:S35"/>
    <mergeCell ref="A42:S42"/>
    <mergeCell ref="A48:S48"/>
    <mergeCell ref="A53:S53"/>
    <mergeCell ref="A58:S58"/>
    <mergeCell ref="A2:S2"/>
    <mergeCell ref="A8:S8"/>
    <mergeCell ref="A15:S15"/>
    <mergeCell ref="A21:S21"/>
    <mergeCell ref="A26:S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" customWidth="1"/>
    <col min="2" max="2" width="28" customWidth="1"/>
    <col min="3" max="3" width="24" customWidth="1"/>
    <col min="4" max="4" width="38" customWidth="1"/>
    <col min="5" max="5" width="24" customWidth="1"/>
    <col min="6" max="6" width="38" customWidth="1"/>
    <col min="7" max="7" width="36" customWidth="1"/>
    <col min="8" max="8" width="10" customWidth="1"/>
  </cols>
  <sheetData>
    <row r="1" spans="1:8" ht="15" customHeight="1" x14ac:dyDescent="0.3">
      <c r="A1" s="3" t="s">
        <v>343</v>
      </c>
      <c r="B1" s="3" t="s">
        <v>344</v>
      </c>
      <c r="C1" s="3" t="s">
        <v>773</v>
      </c>
      <c r="D1" s="3" t="s">
        <v>774</v>
      </c>
      <c r="E1" s="3" t="s">
        <v>775</v>
      </c>
      <c r="F1" s="3" t="s">
        <v>776</v>
      </c>
      <c r="G1" s="3" t="s">
        <v>777</v>
      </c>
      <c r="H1" s="3" t="s">
        <v>346</v>
      </c>
    </row>
    <row r="2" spans="1:8" ht="41.25" customHeight="1" x14ac:dyDescent="0.3">
      <c r="A2" s="12" t="s">
        <v>535</v>
      </c>
      <c r="B2" s="12" t="s">
        <v>536</v>
      </c>
      <c r="C2" s="12" t="s">
        <v>537</v>
      </c>
      <c r="D2" s="12" t="s">
        <v>778</v>
      </c>
      <c r="E2" s="12" t="s">
        <v>538</v>
      </c>
      <c r="F2" s="12" t="s">
        <v>779</v>
      </c>
      <c r="G2" s="12" t="s">
        <v>780</v>
      </c>
      <c r="H2" s="12" t="s">
        <v>373</v>
      </c>
    </row>
    <row r="3" spans="1:8" ht="41.25" customHeight="1" x14ac:dyDescent="0.3">
      <c r="A3" s="12" t="s">
        <v>539</v>
      </c>
      <c r="B3" s="12" t="s">
        <v>540</v>
      </c>
      <c r="C3" s="12" t="s">
        <v>541</v>
      </c>
      <c r="D3" s="12" t="s">
        <v>778</v>
      </c>
      <c r="E3" s="12" t="s">
        <v>542</v>
      </c>
      <c r="F3" s="12" t="s">
        <v>779</v>
      </c>
      <c r="G3" s="12" t="s">
        <v>781</v>
      </c>
      <c r="H3" s="12" t="s">
        <v>373</v>
      </c>
    </row>
    <row r="4" spans="1:8" ht="41.25" customHeight="1" x14ac:dyDescent="0.3">
      <c r="A4" s="12" t="s">
        <v>543</v>
      </c>
      <c r="B4" s="12" t="s">
        <v>544</v>
      </c>
      <c r="C4" s="12" t="s">
        <v>545</v>
      </c>
      <c r="D4" s="12" t="s">
        <v>778</v>
      </c>
      <c r="E4" s="12" t="s">
        <v>546</v>
      </c>
      <c r="F4" s="12" t="s">
        <v>779</v>
      </c>
      <c r="G4" s="12" t="s">
        <v>782</v>
      </c>
      <c r="H4" s="12" t="s">
        <v>547</v>
      </c>
    </row>
    <row r="5" spans="1:8" ht="41.25" customHeight="1" x14ac:dyDescent="0.3">
      <c r="A5" s="12" t="s">
        <v>548</v>
      </c>
      <c r="B5" s="12" t="s">
        <v>549</v>
      </c>
      <c r="C5" s="12" t="s">
        <v>550</v>
      </c>
      <c r="D5" s="12" t="s">
        <v>778</v>
      </c>
      <c r="E5" s="12" t="s">
        <v>551</v>
      </c>
      <c r="F5" s="12" t="s">
        <v>779</v>
      </c>
      <c r="G5" s="12" t="s">
        <v>783</v>
      </c>
      <c r="H5" s="12" t="s">
        <v>552</v>
      </c>
    </row>
    <row r="6" spans="1:8" ht="41.25" customHeight="1" x14ac:dyDescent="0.3">
      <c r="A6" s="12" t="s">
        <v>553</v>
      </c>
      <c r="B6" s="12" t="s">
        <v>554</v>
      </c>
      <c r="C6" s="12" t="s">
        <v>555</v>
      </c>
      <c r="D6" s="12" t="s">
        <v>778</v>
      </c>
      <c r="E6" s="12" t="s">
        <v>556</v>
      </c>
      <c r="F6" s="12" t="s">
        <v>779</v>
      </c>
      <c r="G6" s="12" t="s">
        <v>784</v>
      </c>
      <c r="H6" s="12" t="s">
        <v>373</v>
      </c>
    </row>
    <row r="7" spans="1:8" ht="41.25" customHeight="1" x14ac:dyDescent="0.3">
      <c r="A7" s="12" t="s">
        <v>559</v>
      </c>
      <c r="B7" s="12" t="s">
        <v>560</v>
      </c>
      <c r="C7" s="12" t="s">
        <v>561</v>
      </c>
      <c r="D7" s="12" t="s">
        <v>778</v>
      </c>
      <c r="E7" s="12" t="s">
        <v>562</v>
      </c>
      <c r="F7" s="12" t="s">
        <v>779</v>
      </c>
      <c r="G7" s="12" t="s">
        <v>785</v>
      </c>
      <c r="H7" s="12" t="s">
        <v>373</v>
      </c>
    </row>
    <row r="8" spans="1:8" ht="41.25" customHeight="1" x14ac:dyDescent="0.3">
      <c r="A8" s="12" t="s">
        <v>563</v>
      </c>
      <c r="B8" s="12" t="s">
        <v>564</v>
      </c>
      <c r="C8" s="12" t="s">
        <v>565</v>
      </c>
      <c r="D8" s="12" t="s">
        <v>778</v>
      </c>
      <c r="E8" s="12" t="s">
        <v>566</v>
      </c>
      <c r="F8" s="12" t="s">
        <v>779</v>
      </c>
      <c r="G8" s="12" t="s">
        <v>786</v>
      </c>
      <c r="H8" s="12" t="s">
        <v>373</v>
      </c>
    </row>
    <row r="9" spans="1:8" ht="41.25" customHeight="1" x14ac:dyDescent="0.3">
      <c r="A9" s="12" t="s">
        <v>567</v>
      </c>
      <c r="B9" s="12" t="s">
        <v>568</v>
      </c>
      <c r="C9" s="12" t="s">
        <v>569</v>
      </c>
      <c r="D9" s="12" t="s">
        <v>778</v>
      </c>
      <c r="E9" s="12" t="s">
        <v>570</v>
      </c>
      <c r="F9" s="12" t="s">
        <v>779</v>
      </c>
      <c r="G9" s="12" t="s">
        <v>787</v>
      </c>
      <c r="H9" s="12" t="s">
        <v>373</v>
      </c>
    </row>
    <row r="10" spans="1:8" ht="41.25" customHeight="1" x14ac:dyDescent="0.3">
      <c r="A10" s="12" t="s">
        <v>571</v>
      </c>
      <c r="B10" s="12" t="s">
        <v>572</v>
      </c>
      <c r="C10" s="12" t="s">
        <v>573</v>
      </c>
      <c r="D10" s="12" t="s">
        <v>778</v>
      </c>
      <c r="E10" s="12" t="s">
        <v>574</v>
      </c>
      <c r="F10" s="12" t="s">
        <v>779</v>
      </c>
      <c r="G10" s="12" t="s">
        <v>788</v>
      </c>
      <c r="H10" s="12" t="s">
        <v>575</v>
      </c>
    </row>
    <row r="11" spans="1:8" ht="41.25" customHeight="1" x14ac:dyDescent="0.3">
      <c r="A11" s="12" t="s">
        <v>576</v>
      </c>
      <c r="B11" s="12" t="s">
        <v>577</v>
      </c>
      <c r="C11" s="12" t="s">
        <v>578</v>
      </c>
      <c r="D11" s="12" t="s">
        <v>778</v>
      </c>
      <c r="E11" s="12" t="s">
        <v>579</v>
      </c>
      <c r="F11" s="12" t="s">
        <v>779</v>
      </c>
      <c r="G11" s="12" t="s">
        <v>789</v>
      </c>
      <c r="H11" s="12" t="s">
        <v>373</v>
      </c>
    </row>
    <row r="12" spans="1:8" ht="41.25" customHeight="1" x14ac:dyDescent="0.3">
      <c r="A12" s="12" t="s">
        <v>580</v>
      </c>
      <c r="B12" s="12" t="s">
        <v>581</v>
      </c>
      <c r="C12" s="12" t="s">
        <v>582</v>
      </c>
      <c r="D12" s="12" t="s">
        <v>778</v>
      </c>
      <c r="E12" s="12" t="s">
        <v>583</v>
      </c>
      <c r="F12" s="12" t="s">
        <v>779</v>
      </c>
      <c r="G12" s="12" t="s">
        <v>790</v>
      </c>
      <c r="H12" s="12" t="s">
        <v>373</v>
      </c>
    </row>
    <row r="13" spans="1:8" ht="41.25" customHeight="1" x14ac:dyDescent="0.3">
      <c r="A13" s="12" t="s">
        <v>585</v>
      </c>
      <c r="B13" s="12" t="s">
        <v>586</v>
      </c>
      <c r="C13" s="12" t="s">
        <v>587</v>
      </c>
      <c r="D13" s="12" t="s">
        <v>778</v>
      </c>
      <c r="E13" s="12" t="s">
        <v>588</v>
      </c>
      <c r="F13" s="12" t="s">
        <v>779</v>
      </c>
      <c r="G13" s="12" t="s">
        <v>791</v>
      </c>
      <c r="H13" s="12" t="s">
        <v>373</v>
      </c>
    </row>
    <row r="14" spans="1:8" ht="41.25" customHeight="1" x14ac:dyDescent="0.3">
      <c r="A14" s="12" t="s">
        <v>589</v>
      </c>
      <c r="B14" s="12" t="s">
        <v>590</v>
      </c>
      <c r="C14" s="12" t="s">
        <v>591</v>
      </c>
      <c r="D14" s="12" t="s">
        <v>778</v>
      </c>
      <c r="E14" s="12" t="s">
        <v>592</v>
      </c>
      <c r="F14" s="12" t="s">
        <v>779</v>
      </c>
      <c r="G14" s="12" t="s">
        <v>792</v>
      </c>
      <c r="H14" s="12" t="s">
        <v>373</v>
      </c>
    </row>
    <row r="15" spans="1:8" ht="41.25" customHeight="1" x14ac:dyDescent="0.3">
      <c r="A15" s="12" t="s">
        <v>593</v>
      </c>
      <c r="B15" s="12" t="s">
        <v>594</v>
      </c>
      <c r="C15" s="12" t="s">
        <v>595</v>
      </c>
      <c r="D15" s="12" t="s">
        <v>778</v>
      </c>
      <c r="E15" s="12" t="s">
        <v>596</v>
      </c>
      <c r="F15" s="12" t="s">
        <v>779</v>
      </c>
      <c r="G15" s="12" t="s">
        <v>793</v>
      </c>
      <c r="H15" s="12" t="s">
        <v>373</v>
      </c>
    </row>
    <row r="16" spans="1:8" ht="41.25" customHeight="1" x14ac:dyDescent="0.3">
      <c r="A16" s="12" t="s">
        <v>597</v>
      </c>
      <c r="B16" s="12" t="s">
        <v>598</v>
      </c>
      <c r="C16" s="12" t="s">
        <v>599</v>
      </c>
      <c r="D16" s="12" t="s">
        <v>778</v>
      </c>
      <c r="E16" s="12" t="s">
        <v>600</v>
      </c>
      <c r="F16" s="12" t="s">
        <v>779</v>
      </c>
      <c r="G16" s="12" t="s">
        <v>794</v>
      </c>
      <c r="H16" s="12" t="s">
        <v>547</v>
      </c>
    </row>
    <row r="17" spans="1:8" ht="41.25" customHeight="1" x14ac:dyDescent="0.3">
      <c r="A17" s="12" t="s">
        <v>601</v>
      </c>
      <c r="B17" s="12" t="s">
        <v>602</v>
      </c>
      <c r="C17" s="12" t="s">
        <v>603</v>
      </c>
      <c r="D17" s="12" t="s">
        <v>778</v>
      </c>
      <c r="E17" s="12" t="s">
        <v>604</v>
      </c>
      <c r="F17" s="12" t="s">
        <v>779</v>
      </c>
      <c r="G17" s="12" t="s">
        <v>795</v>
      </c>
      <c r="H17" s="12" t="s">
        <v>373</v>
      </c>
    </row>
    <row r="18" spans="1:8" ht="41.25" customHeight="1" x14ac:dyDescent="0.3">
      <c r="A18" s="12" t="s">
        <v>606</v>
      </c>
      <c r="B18" s="12" t="s">
        <v>607</v>
      </c>
      <c r="C18" s="12" t="s">
        <v>608</v>
      </c>
      <c r="D18" s="12" t="s">
        <v>778</v>
      </c>
      <c r="E18" s="12" t="s">
        <v>609</v>
      </c>
      <c r="F18" s="12" t="s">
        <v>779</v>
      </c>
      <c r="G18" s="12" t="s">
        <v>796</v>
      </c>
      <c r="H18" s="12" t="s">
        <v>610</v>
      </c>
    </row>
    <row r="19" spans="1:8" ht="41.25" customHeight="1" x14ac:dyDescent="0.3">
      <c r="A19" s="12" t="s">
        <v>611</v>
      </c>
      <c r="B19" s="12" t="s">
        <v>612</v>
      </c>
      <c r="C19" s="12" t="s">
        <v>613</v>
      </c>
      <c r="D19" s="12" t="s">
        <v>778</v>
      </c>
      <c r="E19" s="12" t="s">
        <v>614</v>
      </c>
      <c r="F19" s="12" t="s">
        <v>779</v>
      </c>
      <c r="G19" s="12" t="s">
        <v>797</v>
      </c>
      <c r="H19" s="12" t="s">
        <v>547</v>
      </c>
    </row>
    <row r="20" spans="1:8" ht="41.25" customHeight="1" x14ac:dyDescent="0.3">
      <c r="A20" s="12" t="s">
        <v>615</v>
      </c>
      <c r="B20" s="12" t="s">
        <v>616</v>
      </c>
      <c r="C20" s="12" t="s">
        <v>617</v>
      </c>
      <c r="D20" s="12" t="s">
        <v>778</v>
      </c>
      <c r="E20" s="12" t="s">
        <v>618</v>
      </c>
      <c r="F20" s="12" t="s">
        <v>779</v>
      </c>
      <c r="G20" s="12" t="s">
        <v>798</v>
      </c>
      <c r="H20" s="12" t="s">
        <v>619</v>
      </c>
    </row>
    <row r="21" spans="1:8" ht="41.25" customHeight="1" x14ac:dyDescent="0.3">
      <c r="A21" s="12" t="s">
        <v>620</v>
      </c>
      <c r="B21" s="12" t="s">
        <v>621</v>
      </c>
      <c r="C21" s="12" t="s">
        <v>622</v>
      </c>
      <c r="D21" s="12" t="s">
        <v>778</v>
      </c>
      <c r="E21" s="12" t="s">
        <v>623</v>
      </c>
      <c r="F21" s="12" t="s">
        <v>779</v>
      </c>
      <c r="G21" s="12" t="s">
        <v>799</v>
      </c>
      <c r="H21" s="12" t="s">
        <v>624</v>
      </c>
    </row>
    <row r="22" spans="1:8" ht="41.25" customHeight="1" x14ac:dyDescent="0.3">
      <c r="A22" s="12" t="s">
        <v>626</v>
      </c>
      <c r="B22" s="12" t="s">
        <v>627</v>
      </c>
      <c r="C22" s="12" t="s">
        <v>628</v>
      </c>
      <c r="D22" s="12" t="s">
        <v>778</v>
      </c>
      <c r="E22" s="12" t="s">
        <v>562</v>
      </c>
      <c r="F22" s="12" t="s">
        <v>779</v>
      </c>
      <c r="G22" s="12" t="s">
        <v>800</v>
      </c>
      <c r="H22" s="12" t="s">
        <v>575</v>
      </c>
    </row>
    <row r="23" spans="1:8" ht="41.25" customHeight="1" x14ac:dyDescent="0.3">
      <c r="A23" s="12" t="s">
        <v>629</v>
      </c>
      <c r="B23" s="12" t="s">
        <v>630</v>
      </c>
      <c r="C23" s="12" t="s">
        <v>631</v>
      </c>
      <c r="D23" s="12" t="s">
        <v>778</v>
      </c>
      <c r="E23" s="12" t="s">
        <v>632</v>
      </c>
      <c r="F23" s="12" t="s">
        <v>779</v>
      </c>
      <c r="G23" s="12" t="s">
        <v>801</v>
      </c>
      <c r="H23" s="12" t="s">
        <v>575</v>
      </c>
    </row>
    <row r="24" spans="1:8" ht="41.25" customHeight="1" x14ac:dyDescent="0.3">
      <c r="A24" s="12" t="s">
        <v>633</v>
      </c>
      <c r="B24" s="12" t="s">
        <v>634</v>
      </c>
      <c r="C24" s="12" t="s">
        <v>635</v>
      </c>
      <c r="D24" s="12" t="s">
        <v>778</v>
      </c>
      <c r="E24" s="12" t="s">
        <v>636</v>
      </c>
      <c r="F24" s="12" t="s">
        <v>779</v>
      </c>
      <c r="G24" s="12" t="s">
        <v>802</v>
      </c>
      <c r="H24" s="12" t="s">
        <v>547</v>
      </c>
    </row>
    <row r="25" spans="1:8" ht="41.25" customHeight="1" x14ac:dyDescent="0.3">
      <c r="A25" s="12" t="s">
        <v>637</v>
      </c>
      <c r="B25" s="12" t="s">
        <v>638</v>
      </c>
      <c r="C25" s="12" t="s">
        <v>639</v>
      </c>
      <c r="D25" s="12" t="s">
        <v>778</v>
      </c>
      <c r="E25" s="12" t="s">
        <v>640</v>
      </c>
      <c r="F25" s="12" t="s">
        <v>779</v>
      </c>
      <c r="G25" s="12" t="s">
        <v>803</v>
      </c>
      <c r="H25" s="12" t="s">
        <v>641</v>
      </c>
    </row>
    <row r="26" spans="1:8" ht="41.25" customHeight="1" x14ac:dyDescent="0.3">
      <c r="A26" s="12" t="s">
        <v>642</v>
      </c>
      <c r="B26" s="12" t="s">
        <v>643</v>
      </c>
      <c r="C26" s="12" t="s">
        <v>644</v>
      </c>
      <c r="D26" s="12" t="s">
        <v>778</v>
      </c>
      <c r="E26" s="12" t="s">
        <v>645</v>
      </c>
      <c r="F26" s="12" t="s">
        <v>779</v>
      </c>
      <c r="G26" s="12" t="s">
        <v>804</v>
      </c>
      <c r="H26" s="12" t="s">
        <v>647</v>
      </c>
    </row>
    <row r="27" spans="1:8" ht="41.25" customHeight="1" x14ac:dyDescent="0.3">
      <c r="A27" s="12" t="s">
        <v>648</v>
      </c>
      <c r="B27" s="12" t="s">
        <v>649</v>
      </c>
      <c r="C27" s="12" t="s">
        <v>650</v>
      </c>
      <c r="D27" s="12" t="s">
        <v>778</v>
      </c>
      <c r="E27" s="12" t="s">
        <v>651</v>
      </c>
      <c r="F27" s="12" t="s">
        <v>779</v>
      </c>
      <c r="G27" s="12" t="s">
        <v>805</v>
      </c>
      <c r="H27" s="12" t="s">
        <v>652</v>
      </c>
    </row>
    <row r="28" spans="1:8" ht="41.25" customHeight="1" x14ac:dyDescent="0.3">
      <c r="A28" s="12" t="s">
        <v>653</v>
      </c>
      <c r="B28" s="12" t="s">
        <v>654</v>
      </c>
      <c r="C28" s="12" t="s">
        <v>655</v>
      </c>
      <c r="D28" s="12" t="s">
        <v>778</v>
      </c>
      <c r="E28" s="12" t="s">
        <v>562</v>
      </c>
      <c r="F28" s="12" t="s">
        <v>779</v>
      </c>
      <c r="G28" s="12" t="s">
        <v>806</v>
      </c>
      <c r="H28" s="12" t="s">
        <v>641</v>
      </c>
    </row>
    <row r="29" spans="1:8" ht="41.25" customHeight="1" x14ac:dyDescent="0.3">
      <c r="A29" s="12" t="s">
        <v>656</v>
      </c>
      <c r="B29" s="12" t="s">
        <v>657</v>
      </c>
      <c r="C29" s="12" t="s">
        <v>658</v>
      </c>
      <c r="D29" s="12" t="s">
        <v>778</v>
      </c>
      <c r="E29" s="12" t="s">
        <v>659</v>
      </c>
      <c r="F29" s="12" t="s">
        <v>779</v>
      </c>
      <c r="G29" s="12" t="s">
        <v>807</v>
      </c>
      <c r="H29" s="12" t="s">
        <v>373</v>
      </c>
    </row>
    <row r="30" spans="1:8" ht="41.25" customHeight="1" x14ac:dyDescent="0.3">
      <c r="A30" s="12" t="s">
        <v>661</v>
      </c>
      <c r="B30" s="12" t="s">
        <v>662</v>
      </c>
      <c r="C30" s="12" t="s">
        <v>663</v>
      </c>
      <c r="D30" s="12" t="s">
        <v>778</v>
      </c>
      <c r="E30" s="12" t="s">
        <v>664</v>
      </c>
      <c r="F30" s="12" t="s">
        <v>779</v>
      </c>
      <c r="G30" s="12" t="s">
        <v>808</v>
      </c>
      <c r="H30" s="12" t="s">
        <v>665</v>
      </c>
    </row>
    <row r="31" spans="1:8" ht="41.25" customHeight="1" x14ac:dyDescent="0.3">
      <c r="A31" s="12" t="s">
        <v>666</v>
      </c>
      <c r="B31" s="12" t="s">
        <v>667</v>
      </c>
      <c r="C31" s="12" t="s">
        <v>668</v>
      </c>
      <c r="D31" s="12" t="s">
        <v>778</v>
      </c>
      <c r="E31" s="12" t="s">
        <v>669</v>
      </c>
      <c r="F31" s="12" t="s">
        <v>779</v>
      </c>
      <c r="G31" s="12" t="s">
        <v>809</v>
      </c>
      <c r="H31" s="12" t="s">
        <v>670</v>
      </c>
    </row>
    <row r="32" spans="1:8" ht="41.25" customHeight="1" x14ac:dyDescent="0.3">
      <c r="A32" s="12" t="s">
        <v>671</v>
      </c>
      <c r="B32" s="12" t="s">
        <v>672</v>
      </c>
      <c r="C32" s="12" t="s">
        <v>673</v>
      </c>
      <c r="D32" s="12" t="s">
        <v>778</v>
      </c>
      <c r="E32" s="12" t="s">
        <v>669</v>
      </c>
      <c r="F32" s="12" t="s">
        <v>779</v>
      </c>
      <c r="G32" s="12" t="s">
        <v>810</v>
      </c>
      <c r="H32" s="12" t="s">
        <v>674</v>
      </c>
    </row>
    <row r="33" spans="1:8" ht="41.25" customHeight="1" x14ac:dyDescent="0.3">
      <c r="A33" s="12" t="s">
        <v>675</v>
      </c>
      <c r="B33" s="12" t="s">
        <v>676</v>
      </c>
      <c r="C33" s="12" t="s">
        <v>677</v>
      </c>
      <c r="D33" s="12" t="s">
        <v>778</v>
      </c>
      <c r="E33" s="12" t="s">
        <v>678</v>
      </c>
      <c r="F33" s="12" t="s">
        <v>779</v>
      </c>
      <c r="G33" s="12" t="s">
        <v>811</v>
      </c>
      <c r="H33" s="12" t="s">
        <v>373</v>
      </c>
    </row>
    <row r="34" spans="1:8" ht="41.25" customHeight="1" x14ac:dyDescent="0.3">
      <c r="A34" s="12" t="s">
        <v>679</v>
      </c>
      <c r="B34" s="12" t="s">
        <v>680</v>
      </c>
      <c r="C34" s="12" t="s">
        <v>681</v>
      </c>
      <c r="D34" s="12" t="s">
        <v>778</v>
      </c>
      <c r="E34" s="12" t="s">
        <v>682</v>
      </c>
      <c r="F34" s="12" t="s">
        <v>779</v>
      </c>
      <c r="G34" s="12" t="s">
        <v>812</v>
      </c>
      <c r="H34" s="12" t="s">
        <v>683</v>
      </c>
    </row>
    <row r="35" spans="1:8" ht="41.25" customHeight="1" x14ac:dyDescent="0.3">
      <c r="A35" s="12" t="s">
        <v>684</v>
      </c>
      <c r="B35" s="12" t="s">
        <v>685</v>
      </c>
      <c r="C35" s="12" t="s">
        <v>686</v>
      </c>
      <c r="D35" s="12" t="s">
        <v>778</v>
      </c>
      <c r="E35" s="12" t="s">
        <v>687</v>
      </c>
      <c r="F35" s="12" t="s">
        <v>779</v>
      </c>
      <c r="G35" s="12" t="s">
        <v>813</v>
      </c>
      <c r="H35" s="12" t="s">
        <v>547</v>
      </c>
    </row>
    <row r="36" spans="1:8" ht="41.25" customHeight="1" x14ac:dyDescent="0.3">
      <c r="A36" s="12" t="s">
        <v>689</v>
      </c>
      <c r="B36" s="12" t="s">
        <v>690</v>
      </c>
      <c r="C36" s="12" t="s">
        <v>691</v>
      </c>
      <c r="D36" s="12" t="s">
        <v>778</v>
      </c>
      <c r="E36" s="12" t="s">
        <v>692</v>
      </c>
      <c r="F36" s="12" t="s">
        <v>779</v>
      </c>
      <c r="G36" s="12" t="s">
        <v>814</v>
      </c>
      <c r="H36" s="12" t="s">
        <v>575</v>
      </c>
    </row>
    <row r="37" spans="1:8" ht="41.25" customHeight="1" x14ac:dyDescent="0.3">
      <c r="A37" s="12" t="s">
        <v>693</v>
      </c>
      <c r="B37" s="12" t="s">
        <v>694</v>
      </c>
      <c r="C37" s="12" t="s">
        <v>695</v>
      </c>
      <c r="D37" s="12" t="s">
        <v>778</v>
      </c>
      <c r="E37" s="12" t="s">
        <v>696</v>
      </c>
      <c r="F37" s="12" t="s">
        <v>779</v>
      </c>
      <c r="G37" s="12" t="s">
        <v>815</v>
      </c>
      <c r="H37" s="12" t="s">
        <v>547</v>
      </c>
    </row>
    <row r="38" spans="1:8" ht="41.25" customHeight="1" x14ac:dyDescent="0.3">
      <c r="A38" s="12" t="s">
        <v>697</v>
      </c>
      <c r="B38" s="12" t="s">
        <v>698</v>
      </c>
      <c r="C38" s="12" t="s">
        <v>699</v>
      </c>
      <c r="D38" s="12" t="s">
        <v>778</v>
      </c>
      <c r="E38" s="12" t="s">
        <v>700</v>
      </c>
      <c r="F38" s="12" t="s">
        <v>779</v>
      </c>
      <c r="G38" s="12" t="s">
        <v>816</v>
      </c>
      <c r="H38" s="12" t="s">
        <v>373</v>
      </c>
    </row>
    <row r="39" spans="1:8" ht="41.25" customHeight="1" x14ac:dyDescent="0.3">
      <c r="A39" s="12" t="s">
        <v>701</v>
      </c>
      <c r="B39" s="12" t="s">
        <v>399</v>
      </c>
      <c r="C39" s="12" t="s">
        <v>702</v>
      </c>
      <c r="D39" s="12" t="s">
        <v>778</v>
      </c>
      <c r="E39" s="12" t="s">
        <v>703</v>
      </c>
      <c r="F39" s="12" t="s">
        <v>779</v>
      </c>
      <c r="G39" s="12" t="s">
        <v>817</v>
      </c>
      <c r="H39" s="12" t="s">
        <v>547</v>
      </c>
    </row>
    <row r="40" spans="1:8" ht="41.25" customHeight="1" x14ac:dyDescent="0.3">
      <c r="A40" s="12" t="s">
        <v>704</v>
      </c>
      <c r="B40" s="12" t="s">
        <v>382</v>
      </c>
      <c r="C40" s="12" t="s">
        <v>705</v>
      </c>
      <c r="D40" s="12" t="s">
        <v>778</v>
      </c>
      <c r="E40" s="12" t="s">
        <v>706</v>
      </c>
      <c r="F40" s="12" t="s">
        <v>779</v>
      </c>
      <c r="G40" s="12" t="s">
        <v>818</v>
      </c>
      <c r="H40" s="12" t="s">
        <v>575</v>
      </c>
    </row>
    <row r="41" spans="1:8" ht="41.25" customHeight="1" x14ac:dyDescent="0.3">
      <c r="A41" s="12" t="s">
        <v>708</v>
      </c>
      <c r="B41" s="12" t="s">
        <v>390</v>
      </c>
      <c r="C41" s="12" t="s">
        <v>709</v>
      </c>
      <c r="D41" s="12" t="s">
        <v>778</v>
      </c>
      <c r="E41" s="12" t="s">
        <v>710</v>
      </c>
      <c r="F41" s="12" t="s">
        <v>779</v>
      </c>
      <c r="G41" s="12" t="s">
        <v>819</v>
      </c>
      <c r="H41" s="12" t="s">
        <v>373</v>
      </c>
    </row>
    <row r="42" spans="1:8" ht="41.25" customHeight="1" x14ac:dyDescent="0.3">
      <c r="A42" s="12" t="s">
        <v>711</v>
      </c>
      <c r="B42" s="12" t="s">
        <v>712</v>
      </c>
      <c r="C42" s="12" t="s">
        <v>713</v>
      </c>
      <c r="D42" s="12" t="s">
        <v>778</v>
      </c>
      <c r="E42" s="12" t="s">
        <v>714</v>
      </c>
      <c r="F42" s="12" t="s">
        <v>779</v>
      </c>
      <c r="G42" s="12" t="s">
        <v>820</v>
      </c>
      <c r="H42" s="12" t="s">
        <v>373</v>
      </c>
    </row>
    <row r="43" spans="1:8" ht="41.25" customHeight="1" x14ac:dyDescent="0.3">
      <c r="A43" s="12" t="s">
        <v>715</v>
      </c>
      <c r="B43" s="12" t="s">
        <v>716</v>
      </c>
      <c r="C43" s="12" t="s">
        <v>717</v>
      </c>
      <c r="D43" s="12" t="s">
        <v>778</v>
      </c>
      <c r="E43" s="12" t="s">
        <v>718</v>
      </c>
      <c r="F43" s="12" t="s">
        <v>779</v>
      </c>
      <c r="G43" s="12" t="s">
        <v>821</v>
      </c>
      <c r="H43" s="12" t="s">
        <v>610</v>
      </c>
    </row>
    <row r="44" spans="1:8" ht="41.25" customHeight="1" x14ac:dyDescent="0.3">
      <c r="A44" s="12" t="s">
        <v>719</v>
      </c>
      <c r="B44" s="12" t="s">
        <v>720</v>
      </c>
      <c r="C44" s="12" t="s">
        <v>721</v>
      </c>
      <c r="D44" s="12" t="s">
        <v>778</v>
      </c>
      <c r="E44" s="12" t="s">
        <v>722</v>
      </c>
      <c r="F44" s="12" t="s">
        <v>779</v>
      </c>
      <c r="G44" s="12" t="s">
        <v>822</v>
      </c>
      <c r="H44" s="12" t="s">
        <v>641</v>
      </c>
    </row>
    <row r="45" spans="1:8" ht="41.25" customHeight="1" x14ac:dyDescent="0.3">
      <c r="A45" s="12" t="s">
        <v>724</v>
      </c>
      <c r="B45" s="12" t="s">
        <v>725</v>
      </c>
      <c r="C45" s="12" t="s">
        <v>726</v>
      </c>
      <c r="D45" s="12" t="s">
        <v>778</v>
      </c>
      <c r="E45" s="12" t="s">
        <v>727</v>
      </c>
      <c r="F45" s="12" t="s">
        <v>779</v>
      </c>
      <c r="G45" s="12" t="s">
        <v>823</v>
      </c>
      <c r="H45" s="12" t="s">
        <v>373</v>
      </c>
    </row>
    <row r="46" spans="1:8" ht="41.25" customHeight="1" x14ac:dyDescent="0.3">
      <c r="A46" s="12" t="s">
        <v>728</v>
      </c>
      <c r="B46" s="12" t="s">
        <v>729</v>
      </c>
      <c r="C46" s="12" t="s">
        <v>730</v>
      </c>
      <c r="D46" s="12" t="s">
        <v>778</v>
      </c>
      <c r="E46" s="12" t="s">
        <v>731</v>
      </c>
      <c r="F46" s="12" t="s">
        <v>779</v>
      </c>
      <c r="G46" s="12" t="s">
        <v>824</v>
      </c>
      <c r="H46" s="12" t="s">
        <v>610</v>
      </c>
    </row>
    <row r="47" spans="1:8" ht="41.25" customHeight="1" x14ac:dyDescent="0.3">
      <c r="A47" s="12" t="s">
        <v>732</v>
      </c>
      <c r="B47" s="12" t="s">
        <v>733</v>
      </c>
      <c r="C47" s="12" t="s">
        <v>734</v>
      </c>
      <c r="D47" s="12" t="s">
        <v>778</v>
      </c>
      <c r="E47" s="12" t="s">
        <v>735</v>
      </c>
      <c r="F47" s="12" t="s">
        <v>779</v>
      </c>
      <c r="G47" s="12" t="s">
        <v>825</v>
      </c>
      <c r="H47" s="12" t="s">
        <v>373</v>
      </c>
    </row>
    <row r="48" spans="1:8" ht="41.25" customHeight="1" x14ac:dyDescent="0.3">
      <c r="A48" s="12" t="s">
        <v>736</v>
      </c>
      <c r="B48" s="12" t="s">
        <v>737</v>
      </c>
      <c r="C48" s="12" t="s">
        <v>738</v>
      </c>
      <c r="D48" s="12" t="s">
        <v>778</v>
      </c>
      <c r="E48" s="12" t="s">
        <v>739</v>
      </c>
      <c r="F48" s="12" t="s">
        <v>779</v>
      </c>
      <c r="G48" s="12" t="s">
        <v>826</v>
      </c>
      <c r="H48" s="12" t="s">
        <v>740</v>
      </c>
    </row>
    <row r="49" spans="1:8" ht="41.25" customHeight="1" x14ac:dyDescent="0.3">
      <c r="A49" s="12" t="s">
        <v>742</v>
      </c>
      <c r="B49" s="12" t="s">
        <v>743</v>
      </c>
      <c r="C49" s="12" t="s">
        <v>744</v>
      </c>
      <c r="D49" s="12" t="s">
        <v>778</v>
      </c>
      <c r="E49" s="12" t="s">
        <v>745</v>
      </c>
      <c r="F49" s="12" t="s">
        <v>779</v>
      </c>
      <c r="G49" s="12" t="s">
        <v>827</v>
      </c>
      <c r="H49" s="12" t="s">
        <v>373</v>
      </c>
    </row>
    <row r="50" spans="1:8" ht="41.25" customHeight="1" x14ac:dyDescent="0.3">
      <c r="A50" s="12" t="s">
        <v>746</v>
      </c>
      <c r="B50" s="12" t="s">
        <v>747</v>
      </c>
      <c r="C50" s="12" t="s">
        <v>748</v>
      </c>
      <c r="D50" s="12" t="s">
        <v>778</v>
      </c>
      <c r="E50" s="12" t="s">
        <v>749</v>
      </c>
      <c r="F50" s="12" t="s">
        <v>779</v>
      </c>
      <c r="G50" s="12" t="s">
        <v>828</v>
      </c>
      <c r="H50" s="12" t="s">
        <v>750</v>
      </c>
    </row>
    <row r="51" spans="1:8" ht="41.25" customHeight="1" x14ac:dyDescent="0.3">
      <c r="A51" s="12" t="s">
        <v>751</v>
      </c>
      <c r="B51" s="12" t="s">
        <v>752</v>
      </c>
      <c r="C51" s="12" t="s">
        <v>753</v>
      </c>
      <c r="D51" s="12" t="s">
        <v>778</v>
      </c>
      <c r="E51" s="12" t="s">
        <v>754</v>
      </c>
      <c r="F51" s="12" t="s">
        <v>779</v>
      </c>
      <c r="G51" s="12" t="s">
        <v>829</v>
      </c>
      <c r="H51" s="12" t="s">
        <v>373</v>
      </c>
    </row>
    <row r="52" spans="1:8" ht="41.25" customHeight="1" x14ac:dyDescent="0.3">
      <c r="A52" s="12" t="s">
        <v>755</v>
      </c>
      <c r="B52" s="12" t="s">
        <v>756</v>
      </c>
      <c r="C52" s="12" t="s">
        <v>757</v>
      </c>
      <c r="D52" s="12" t="s">
        <v>778</v>
      </c>
      <c r="E52" s="12" t="s">
        <v>758</v>
      </c>
      <c r="F52" s="12" t="s">
        <v>779</v>
      </c>
      <c r="G52" s="12" t="s">
        <v>830</v>
      </c>
      <c r="H52" s="12" t="s">
        <v>641</v>
      </c>
    </row>
    <row r="53" spans="1:8" ht="41.25" customHeight="1" x14ac:dyDescent="0.3">
      <c r="A53" s="12" t="s">
        <v>759</v>
      </c>
      <c r="B53" s="12" t="s">
        <v>760</v>
      </c>
      <c r="C53" s="12" t="s">
        <v>761</v>
      </c>
      <c r="D53" s="12" t="s">
        <v>778</v>
      </c>
      <c r="E53" s="12" t="s">
        <v>762</v>
      </c>
      <c r="F53" s="12" t="s">
        <v>779</v>
      </c>
      <c r="G53" s="12" t="s">
        <v>831</v>
      </c>
      <c r="H53" s="12" t="s">
        <v>763</v>
      </c>
    </row>
    <row r="54" spans="1:8" ht="41.25" customHeight="1" x14ac:dyDescent="0.3">
      <c r="A54" s="12" t="s">
        <v>764</v>
      </c>
      <c r="B54" s="12" t="s">
        <v>765</v>
      </c>
      <c r="C54" s="12" t="s">
        <v>766</v>
      </c>
      <c r="D54" s="12" t="s">
        <v>778</v>
      </c>
      <c r="E54" s="12" t="s">
        <v>562</v>
      </c>
      <c r="F54" s="12" t="s">
        <v>779</v>
      </c>
      <c r="G54" s="12" t="s">
        <v>832</v>
      </c>
      <c r="H54" s="12" t="s">
        <v>547</v>
      </c>
    </row>
    <row r="55" spans="1:8" ht="41.25" customHeight="1" x14ac:dyDescent="0.3">
      <c r="A55" s="12" t="s">
        <v>767</v>
      </c>
      <c r="B55" s="12" t="s">
        <v>768</v>
      </c>
      <c r="C55" s="12" t="s">
        <v>769</v>
      </c>
      <c r="D55" s="12" t="s">
        <v>778</v>
      </c>
      <c r="E55" s="12" t="s">
        <v>770</v>
      </c>
      <c r="F55" s="12" t="s">
        <v>779</v>
      </c>
      <c r="G55" s="12" t="s">
        <v>833</v>
      </c>
      <c r="H55" s="12" t="s">
        <v>641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Asset Inventory</vt:lpstr>
      <vt:lpstr>HCE Register</vt:lpstr>
      <vt:lpstr>Attack Scenarios</vt:lpstr>
      <vt:lpstr>62443 Gap Analysis</vt:lpstr>
      <vt:lpstr>POA&amp;M</vt:lpstr>
      <vt:lpstr>Requirements Traceability</vt:lpstr>
      <vt:lpstr>V&amp;V Test Results</vt:lpstr>
      <vt:lpstr>Risk Matrix</vt:lpstr>
      <vt:lpstr>EMB3D Threat Analysis</vt:lpstr>
      <vt:lpstr>Compliance Mapping</vt:lpstr>
      <vt:lpstr>KPI Tracker</vt:lpstr>
      <vt:lpstr>Annex L KPI Master</vt:lpstr>
      <vt:lpstr>Annex L Monthly Tracker</vt:lpstr>
      <vt:lpstr>Formula Reference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Isiah Jones</cp:lastModifiedBy>
  <cp:revision>0</cp:revision>
  <dcterms:created xsi:type="dcterms:W3CDTF">2026-05-06T02:33:58Z</dcterms:created>
  <dcterms:modified xsi:type="dcterms:W3CDTF">2026-05-06T02:41:13Z</dcterms:modified>
  <dc:language>en-US</dc:language>
</cp:coreProperties>
</file>